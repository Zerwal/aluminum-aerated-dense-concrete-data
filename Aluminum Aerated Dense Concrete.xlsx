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ZERWAL\THESE\Research\Papers\Paper 1\"/>
    </mc:Choice>
  </mc:AlternateContent>
  <xr:revisionPtr revIDLastSave="0" documentId="13_ncr:1_{C9026107-99EB-4DD1-8E37-BA0D601C93AB}" xr6:coauthVersionLast="47" xr6:coauthVersionMax="47" xr10:uidLastSave="{00000000-0000-0000-0000-000000000000}"/>
  <bookViews>
    <workbookView xWindow="360" yWindow="180" windowWidth="28440" windowHeight="15300" firstSheet="6" activeTab="8" xr2:uid="{EC69F8DA-B693-490F-A17F-A1C2C82E9977}"/>
  </bookViews>
  <sheets>
    <sheet name="Design" sheetId="2" r:id="rId1"/>
    <sheet name="Compression" sheetId="1" r:id="rId2"/>
    <sheet name="Specific Gravity" sheetId="4" r:id="rId3"/>
    <sheet name="Bulk Density" sheetId="10" r:id="rId4"/>
    <sheet name="Compacted Density MDD" sheetId="11" r:id="rId5"/>
    <sheet name="AIV" sheetId="5" r:id="rId6"/>
    <sheet name="ACV" sheetId="6" r:id="rId7"/>
    <sheet name="PSD" sheetId="7" r:id="rId8"/>
    <sheet name="Absorpsion" sheetId="3" r:id="rId9"/>
  </sheets>
  <externalReferences>
    <externalReference r:id="rId10"/>
  </externalReferences>
  <definedNames>
    <definedName name="_xlnm.Print_Area" localSheetId="8">Absorpsion!#REF!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3" l="1"/>
  <c r="E11" i="3"/>
  <c r="F11" i="3"/>
  <c r="G11" i="3"/>
  <c r="H11" i="3"/>
  <c r="I11" i="3"/>
  <c r="J11" i="3"/>
  <c r="K11" i="3"/>
  <c r="L11" i="3"/>
  <c r="M11" i="3"/>
  <c r="N11" i="3"/>
  <c r="O11" i="3"/>
  <c r="P11" i="3"/>
  <c r="Q11" i="3"/>
  <c r="R11" i="3"/>
  <c r="S11" i="3"/>
  <c r="T11" i="3"/>
  <c r="U11" i="3"/>
  <c r="V11" i="3"/>
  <c r="W11" i="3"/>
  <c r="X11" i="3"/>
  <c r="Y11" i="3"/>
  <c r="Z11" i="3"/>
  <c r="C11" i="3"/>
  <c r="M11" i="1"/>
  <c r="M8" i="1"/>
  <c r="M5" i="1"/>
  <c r="M25" i="1"/>
  <c r="M15" i="1"/>
  <c r="E37" i="1"/>
  <c r="G37" i="1"/>
  <c r="I37" i="1"/>
  <c r="K37" i="1"/>
  <c r="C37" i="1"/>
  <c r="M37" i="1"/>
  <c r="I10" i="4"/>
  <c r="H10" i="4"/>
  <c r="I8" i="4"/>
  <c r="I3" i="4"/>
  <c r="J3" i="4" s="1"/>
  <c r="H3" i="4"/>
  <c r="H8" i="4" s="1"/>
  <c r="H9" i="4" l="1"/>
  <c r="I9" i="4"/>
  <c r="C8" i="10"/>
  <c r="H8" i="10"/>
  <c r="H9" i="10" s="1"/>
  <c r="G8" i="10"/>
  <c r="B8" i="10"/>
  <c r="I7" i="10"/>
  <c r="H6" i="10"/>
  <c r="G6" i="10"/>
  <c r="I6" i="10" s="1"/>
  <c r="I5" i="10"/>
  <c r="I4" i="10"/>
  <c r="D5" i="10" l="1"/>
  <c r="D7" i="10"/>
  <c r="D4" i="10"/>
  <c r="C6" i="10"/>
  <c r="B6" i="10"/>
  <c r="D6" i="10" s="1"/>
  <c r="C4" i="11"/>
  <c r="D13" i="11" s="1"/>
  <c r="C9" i="10"/>
  <c r="J16" i="4"/>
  <c r="J17" i="4"/>
  <c r="J18" i="4"/>
  <c r="J19" i="4"/>
  <c r="J20" i="4"/>
  <c r="J21" i="4"/>
  <c r="J15" i="4"/>
  <c r="J5" i="4"/>
  <c r="J6" i="4"/>
  <c r="J7" i="4"/>
  <c r="J4" i="4"/>
  <c r="I20" i="4"/>
  <c r="I22" i="4" s="1"/>
  <c r="I25" i="4"/>
  <c r="H20" i="4"/>
  <c r="H22" i="4" s="1"/>
  <c r="J22" i="4" s="1"/>
  <c r="I32" i="7"/>
  <c r="J8" i="4" l="1"/>
  <c r="D8" i="10"/>
  <c r="I8" i="10"/>
  <c r="G9" i="10"/>
  <c r="I9" i="10" s="1"/>
  <c r="B9" i="10"/>
  <c r="D9" i="10" s="1"/>
  <c r="D15" i="11"/>
  <c r="D9" i="11"/>
  <c r="D11" i="11"/>
  <c r="D17" i="11"/>
  <c r="D8" i="11"/>
  <c r="D10" i="11"/>
  <c r="D12" i="11"/>
  <c r="D14" i="11"/>
  <c r="D16" i="11"/>
  <c r="D7" i="11"/>
  <c r="I24" i="4"/>
  <c r="I23" i="4"/>
  <c r="H23" i="4"/>
  <c r="H24" i="4"/>
  <c r="H25" i="4"/>
  <c r="J25" i="4" s="1"/>
  <c r="J9" i="4"/>
  <c r="J10" i="4" l="1"/>
  <c r="J24" i="4"/>
  <c r="J23" i="4"/>
  <c r="F8" i="3"/>
  <c r="I25" i="1"/>
  <c r="E25" i="1"/>
  <c r="K25" i="1"/>
  <c r="G25" i="1"/>
  <c r="M29" i="1"/>
  <c r="K29" i="1"/>
  <c r="I29" i="1"/>
  <c r="G29" i="1"/>
  <c r="E29" i="1"/>
  <c r="C29" i="1"/>
  <c r="C25" i="1"/>
  <c r="J33" i="1"/>
  <c r="H33" i="1"/>
  <c r="F33" i="1"/>
  <c r="D33" i="1"/>
  <c r="B33" i="1"/>
  <c r="I14" i="7"/>
  <c r="I13" i="7"/>
  <c r="M13" i="7"/>
  <c r="E13" i="7"/>
  <c r="I34" i="7"/>
  <c r="I30" i="7"/>
  <c r="D32" i="7"/>
  <c r="D33" i="7"/>
  <c r="D34" i="7"/>
  <c r="D35" i="7"/>
  <c r="D36" i="7"/>
  <c r="D37" i="7"/>
  <c r="D38" i="7"/>
  <c r="D31" i="7"/>
  <c r="Q19" i="7"/>
  <c r="Q20" i="7" s="1"/>
  <c r="L18" i="7"/>
  <c r="L19" i="7" s="1"/>
  <c r="H18" i="7"/>
  <c r="H19" i="7" s="1"/>
  <c r="D18" i="7"/>
  <c r="D19" i="7" s="1"/>
  <c r="D20" i="7" s="1"/>
  <c r="L5" i="7"/>
  <c r="H5" i="7"/>
  <c r="H6" i="7" s="1"/>
  <c r="H7" i="7" s="1"/>
  <c r="D5" i="7"/>
  <c r="D6" i="7" s="1"/>
  <c r="C7" i="6"/>
  <c r="C6" i="6"/>
  <c r="B7" i="6"/>
  <c r="D7" i="6" s="1"/>
  <c r="B6" i="6"/>
  <c r="C6" i="5"/>
  <c r="D6" i="5"/>
  <c r="B6" i="5"/>
  <c r="C7" i="5"/>
  <c r="D7" i="5"/>
  <c r="B7" i="5"/>
  <c r="E7" i="5" l="1"/>
  <c r="L6" i="7"/>
  <c r="L20" i="7"/>
  <c r="H20" i="7"/>
  <c r="D21" i="7"/>
  <c r="H8" i="7"/>
  <c r="D7" i="7"/>
  <c r="I8" i="3"/>
  <c r="G9" i="3" s="1"/>
  <c r="Q8" i="3"/>
  <c r="X8" i="3"/>
  <c r="W8" i="3"/>
  <c r="P8" i="3"/>
  <c r="O8" i="3"/>
  <c r="H8" i="3"/>
  <c r="G8" i="3"/>
  <c r="U8" i="3"/>
  <c r="T8" i="3"/>
  <c r="S8" i="3"/>
  <c r="M8" i="3"/>
  <c r="L8" i="3"/>
  <c r="K8" i="3"/>
  <c r="N8" i="3" s="1"/>
  <c r="D8" i="3"/>
  <c r="E8" i="3"/>
  <c r="C8" i="3"/>
  <c r="Z7" i="3"/>
  <c r="Z5" i="3"/>
  <c r="V7" i="3"/>
  <c r="V5" i="3"/>
  <c r="N7" i="3"/>
  <c r="N5" i="3"/>
  <c r="R7" i="3"/>
  <c r="R5" i="3"/>
  <c r="J7" i="3"/>
  <c r="J5" i="3"/>
  <c r="F7" i="3"/>
  <c r="F5" i="3"/>
  <c r="C4" i="3"/>
  <c r="U4" i="3"/>
  <c r="W4" i="3"/>
  <c r="Z2" i="3"/>
  <c r="V2" i="3"/>
  <c r="R2" i="3"/>
  <c r="N2" i="3"/>
  <c r="J2" i="3"/>
  <c r="F2" i="3"/>
  <c r="M21" i="1"/>
  <c r="M18" i="1"/>
  <c r="K11" i="1"/>
  <c r="K8" i="1"/>
  <c r="K5" i="1"/>
  <c r="I11" i="1"/>
  <c r="I8" i="1"/>
  <c r="I5" i="1"/>
  <c r="G11" i="1"/>
  <c r="G8" i="1"/>
  <c r="G5" i="1"/>
  <c r="E11" i="1"/>
  <c r="E8" i="1"/>
  <c r="E5" i="1"/>
  <c r="C11" i="1"/>
  <c r="C8" i="1"/>
  <c r="C5" i="1"/>
  <c r="G21" i="1"/>
  <c r="G18" i="1"/>
  <c r="G15" i="1"/>
  <c r="C21" i="1"/>
  <c r="C18" i="1"/>
  <c r="C15" i="1"/>
  <c r="K21" i="1"/>
  <c r="K18" i="1"/>
  <c r="K15" i="1"/>
  <c r="I21" i="1"/>
  <c r="I18" i="1"/>
  <c r="I15" i="1"/>
  <c r="E21" i="1"/>
  <c r="E18" i="1"/>
  <c r="E15" i="1"/>
  <c r="G13" i="2"/>
  <c r="F13" i="2"/>
  <c r="E13" i="2"/>
  <c r="D13" i="2"/>
  <c r="W9" i="3" l="1"/>
  <c r="C9" i="3"/>
  <c r="V8" i="3"/>
  <c r="O9" i="3"/>
  <c r="K9" i="3"/>
  <c r="Z8" i="3"/>
  <c r="J8" i="3"/>
  <c r="R8" i="3"/>
  <c r="S9" i="3"/>
  <c r="L7" i="7"/>
  <c r="L21" i="7"/>
  <c r="H21" i="7"/>
  <c r="D22" i="7"/>
  <c r="H9" i="7"/>
  <c r="D8" i="7"/>
  <c r="L8" i="7" l="1"/>
  <c r="L22" i="7"/>
  <c r="H22" i="7"/>
  <c r="D23" i="7"/>
  <c r="H10" i="7"/>
  <c r="D9" i="7"/>
  <c r="L9" i="7" l="1"/>
  <c r="L23" i="7"/>
  <c r="H23" i="7"/>
  <c r="D24" i="7"/>
  <c r="H11" i="7"/>
  <c r="D10" i="7"/>
  <c r="L10" i="7" l="1"/>
  <c r="L24" i="7"/>
  <c r="H24" i="7"/>
  <c r="D25" i="7"/>
  <c r="H12" i="7"/>
  <c r="D11" i="7"/>
  <c r="E25" i="7" l="1"/>
  <c r="E18" i="7"/>
  <c r="E19" i="7"/>
  <c r="E20" i="7"/>
  <c r="E21" i="7"/>
  <c r="E22" i="7"/>
  <c r="E23" i="7"/>
  <c r="E24" i="7"/>
  <c r="L11" i="7"/>
  <c r="I11" i="7"/>
  <c r="L25" i="7"/>
  <c r="H25" i="7"/>
  <c r="I12" i="7"/>
  <c r="I5" i="7"/>
  <c r="I6" i="7"/>
  <c r="I7" i="7"/>
  <c r="I8" i="7"/>
  <c r="I9" i="7"/>
  <c r="I10" i="7"/>
  <c r="D12" i="7"/>
  <c r="I25" i="7" l="1"/>
  <c r="I18" i="7"/>
  <c r="I19" i="7"/>
  <c r="I20" i="7"/>
  <c r="I21" i="7"/>
  <c r="I22" i="7"/>
  <c r="I23" i="7"/>
  <c r="I24" i="7"/>
  <c r="M25" i="7"/>
  <c r="M18" i="7"/>
  <c r="M19" i="7"/>
  <c r="M20" i="7"/>
  <c r="M21" i="7"/>
  <c r="M22" i="7"/>
  <c r="M23" i="7"/>
  <c r="M24" i="7"/>
  <c r="F18" i="7"/>
  <c r="L12" i="7"/>
  <c r="E11" i="7"/>
  <c r="J6" i="7"/>
  <c r="J7" i="7"/>
  <c r="J8" i="7"/>
  <c r="J9" i="7"/>
  <c r="J10" i="7"/>
  <c r="J11" i="7"/>
  <c r="J12" i="7"/>
  <c r="J5" i="7"/>
  <c r="E5" i="7"/>
  <c r="E12" i="7"/>
  <c r="F19" i="7" s="1"/>
  <c r="E6" i="7"/>
  <c r="E7" i="7"/>
  <c r="E8" i="7"/>
  <c r="E9" i="7"/>
  <c r="E10" i="7"/>
  <c r="F22" i="7" l="1"/>
  <c r="F23" i="7"/>
  <c r="I33" i="7" s="1"/>
  <c r="F20" i="7"/>
  <c r="F24" i="7"/>
  <c r="F21" i="7"/>
  <c r="I31" i="7" s="1"/>
  <c r="F25" i="7"/>
  <c r="J19" i="7"/>
  <c r="J20" i="7"/>
  <c r="J21" i="7"/>
  <c r="J22" i="7"/>
  <c r="J23" i="7"/>
  <c r="J24" i="7"/>
  <c r="J25" i="7"/>
  <c r="J18" i="7"/>
  <c r="N19" i="7"/>
  <c r="N20" i="7"/>
  <c r="N21" i="7"/>
  <c r="N22" i="7"/>
  <c r="N23" i="7"/>
  <c r="N25" i="7"/>
  <c r="N24" i="7"/>
  <c r="N18" i="7"/>
  <c r="M11" i="7"/>
  <c r="M12" i="7"/>
  <c r="M5" i="7"/>
  <c r="M6" i="7"/>
  <c r="M7" i="7"/>
  <c r="M8" i="7"/>
  <c r="M9" i="7"/>
  <c r="M10" i="7"/>
  <c r="F6" i="7"/>
  <c r="F8" i="7"/>
  <c r="F9" i="7"/>
  <c r="F10" i="7"/>
  <c r="F11" i="7"/>
  <c r="F5" i="7"/>
  <c r="F12" i="7"/>
  <c r="F7" i="7"/>
  <c r="I29" i="7" l="1"/>
  <c r="N6" i="7"/>
  <c r="N7" i="7"/>
  <c r="N8" i="7"/>
  <c r="N9" i="7"/>
  <c r="N10" i="7"/>
  <c r="N11" i="7"/>
  <c r="N12" i="7"/>
  <c r="N5" i="7"/>
</calcChain>
</file>

<file path=xl/sharedStrings.xml><?xml version="1.0" encoding="utf-8"?>
<sst xmlns="http://schemas.openxmlformats.org/spreadsheetml/2006/main" count="235" uniqueCount="141">
  <si>
    <t>Cement (kg)</t>
  </si>
  <si>
    <t>Fine Aggregates (kg)</t>
  </si>
  <si>
    <t>Coarse aggregates (kg)</t>
  </si>
  <si>
    <t>Superplasticizer (kg)</t>
  </si>
  <si>
    <t>Water (kg)</t>
  </si>
  <si>
    <t>Aluminum powder (kg)</t>
  </si>
  <si>
    <t>Samples</t>
  </si>
  <si>
    <t>Cubes</t>
  </si>
  <si>
    <t>Cylinder</t>
  </si>
  <si>
    <t>Beams</t>
  </si>
  <si>
    <t>Numbers</t>
  </si>
  <si>
    <t>H (mm)</t>
  </si>
  <si>
    <t>L (mm)</t>
  </si>
  <si>
    <t>B (mm)</t>
  </si>
  <si>
    <t>DENSITY</t>
  </si>
  <si>
    <t>COMPRESSION TEST</t>
  </si>
  <si>
    <t>SPLITING TEST</t>
  </si>
  <si>
    <t>FLEXURAL TEST</t>
  </si>
  <si>
    <t>Slump (mm)</t>
  </si>
  <si>
    <t>Mon 29/09/2025</t>
  </si>
  <si>
    <t>Tue 30/09/2025</t>
  </si>
  <si>
    <t>Wed 01/10/2025</t>
  </si>
  <si>
    <t>Thu 02/10/2025</t>
  </si>
  <si>
    <t>Fri 03/10/2025</t>
  </si>
  <si>
    <t>00Al</t>
  </si>
  <si>
    <t>01Al</t>
  </si>
  <si>
    <t>02Al</t>
  </si>
  <si>
    <t>04Al</t>
  </si>
  <si>
    <t>05Al</t>
  </si>
  <si>
    <t>03Al</t>
  </si>
  <si>
    <t>SPLIT DENSITY</t>
  </si>
  <si>
    <t>FLEXURAL DENSITY</t>
  </si>
  <si>
    <t>%</t>
  </si>
  <si>
    <t>Porosity</t>
  </si>
  <si>
    <t>Standard Deviation</t>
  </si>
  <si>
    <t xml:space="preserve"> Specific Gravity for Fine Aggregates</t>
  </si>
  <si>
    <t>Mass of Pyconometer (g)</t>
  </si>
  <si>
    <t>Mass of Pyconometer + Sand (g)</t>
  </si>
  <si>
    <t>Mass of Pyconometer + Sand + Water (g)</t>
  </si>
  <si>
    <t>Mass of Pyconometer + Water (g)</t>
  </si>
  <si>
    <t>Mass of Oven-dry Sample (g)</t>
  </si>
  <si>
    <t xml:space="preserve">Specific Gravity for Coarse Aggregate </t>
  </si>
  <si>
    <t>Mass of Sample: 2000 g</t>
  </si>
  <si>
    <t>Sample No.</t>
  </si>
  <si>
    <t>Mass of Basket in Air (g)</t>
  </si>
  <si>
    <t>Mass of Basket in Water</t>
  </si>
  <si>
    <t>Mass of Basket + Aggregate in Air</t>
  </si>
  <si>
    <t>Mass of Basket + Aggregate in Water</t>
  </si>
  <si>
    <t>Mass of Oven-dry Sample</t>
  </si>
  <si>
    <t xml:space="preserve">Aggregate Impact Value </t>
  </si>
  <si>
    <t>Average</t>
  </si>
  <si>
    <t>Mass Passing Separation Sieve (p)</t>
  </si>
  <si>
    <t>Loss (g)</t>
  </si>
  <si>
    <t>AIV = (px100)/m1</t>
  </si>
  <si>
    <t>Aggregate Crushing Value (ACV) Results</t>
  </si>
  <si>
    <t>Mass Passing 2.36mm Sieve (m1-m2 )</t>
  </si>
  <si>
    <t xml:space="preserve">Sieve Analysis for Fine Aggregate </t>
  </si>
  <si>
    <t>Mass of Each Sample: 2000 g</t>
  </si>
  <si>
    <t>Total Mass of Sample (g)</t>
  </si>
  <si>
    <t>Sample 1</t>
  </si>
  <si>
    <t>Sample 2</t>
  </si>
  <si>
    <t>Sample 3</t>
  </si>
  <si>
    <t>Sieve (mm)</t>
  </si>
  <si>
    <t>Mass of sieve (g)</t>
  </si>
  <si>
    <t>Mass Retained (Sieve + Aggregate) (g)</t>
  </si>
  <si>
    <t>% Retained</t>
  </si>
  <si>
    <t>% Passing</t>
  </si>
  <si>
    <t>Pan</t>
  </si>
  <si>
    <t xml:space="preserve">Sieve Analysis for Coarse Aggregate </t>
  </si>
  <si>
    <t>Mass of Each Sample: 3000 g</t>
  </si>
  <si>
    <t>Total Mass of Sample m1 (g)</t>
  </si>
  <si>
    <t>Mass Retained on the sieve m2 (g)</t>
  </si>
  <si>
    <t>Mass Retained on 2.36mm sieve m2 (g)</t>
  </si>
  <si>
    <t>Sieve Size (mm)</t>
  </si>
  <si>
    <t>Upper Limit</t>
  </si>
  <si>
    <t>Lower Limit</t>
  </si>
  <si>
    <t>Commulative    % Passing</t>
  </si>
  <si>
    <t>mm</t>
  </si>
  <si>
    <t>g</t>
  </si>
  <si>
    <t>Cumulated</t>
  </si>
  <si>
    <t>Finesse module</t>
  </si>
  <si>
    <t>Mean Finess module</t>
  </si>
  <si>
    <t>Finesse Modulus</t>
  </si>
  <si>
    <t>Type of sand</t>
  </si>
  <si>
    <t>Fineness modulus range</t>
  </si>
  <si>
    <t>Fine sand</t>
  </si>
  <si>
    <t>2.2 – 2.6</t>
  </si>
  <si>
    <t>Medium sand</t>
  </si>
  <si>
    <t>2.6 – 2.9</t>
  </si>
  <si>
    <t>Coarse sand</t>
  </si>
  <si>
    <t>2.9 – 3.2</t>
  </si>
  <si>
    <t>Emma</t>
  </si>
  <si>
    <t>Total Mass of Sample (m1)</t>
  </si>
  <si>
    <t>500 g</t>
  </si>
  <si>
    <t>Mass Retained on the sieve (m2)</t>
  </si>
  <si>
    <t>Zerwal</t>
  </si>
  <si>
    <t>2797 g</t>
  </si>
  <si>
    <t>2810 g</t>
  </si>
  <si>
    <t xml:space="preserve"> 2789 g</t>
  </si>
  <si>
    <t>Mass Retained on 2.36mm sieve (m2)</t>
  </si>
  <si>
    <t>2680,9</t>
  </si>
  <si>
    <t>Trial 1</t>
  </si>
  <si>
    <t>Trial 2</t>
  </si>
  <si>
    <t>Mat + Pycnometer (M1)</t>
  </si>
  <si>
    <t>Mat + Pycnometer + Water (M2)</t>
  </si>
  <si>
    <t>Mat oven dry (M3)</t>
  </si>
  <si>
    <t>Pycnometer + water (M4)</t>
  </si>
  <si>
    <t>Water absorption ((M1-M3)*100)/M3</t>
  </si>
  <si>
    <t>Specific gravity SSD (M1/(M1-M2))</t>
  </si>
  <si>
    <t>Specific gravity (Oven dry) (M3/(M1-M2))</t>
  </si>
  <si>
    <t>Apparent specific gravity (M3/(M3-M2))</t>
  </si>
  <si>
    <t>Weight of empty basket in air (Mair) (g)</t>
  </si>
  <si>
    <t>Material + Basket in air (Mair')  (g)</t>
  </si>
  <si>
    <t>Material (M1 = Mair' - Mair)  (g)</t>
  </si>
  <si>
    <t>Empty Basket in water (Mw)  (g)</t>
  </si>
  <si>
    <t>Basket + Material in water (Mw')  (g)</t>
  </si>
  <si>
    <t>Material in water (M2 = Mw - Mw')  (g)</t>
  </si>
  <si>
    <t>Material oven dry (M3)  (g)</t>
  </si>
  <si>
    <t>Container weight</t>
  </si>
  <si>
    <t>BULK DENSITY OF CORSE AGGREGATE</t>
  </si>
  <si>
    <t>Container + CA</t>
  </si>
  <si>
    <t>CA weight</t>
  </si>
  <si>
    <t>CA bulk density</t>
  </si>
  <si>
    <t>BULK DENSITY OF FINE AGGREGATE</t>
  </si>
  <si>
    <t>Container + FA</t>
  </si>
  <si>
    <t>FA weight</t>
  </si>
  <si>
    <t xml:space="preserve">FA &amp; CA mix Density </t>
  </si>
  <si>
    <t>Container + water</t>
  </si>
  <si>
    <t>Container volume</t>
  </si>
  <si>
    <t>ml</t>
  </si>
  <si>
    <t>Percentage</t>
  </si>
  <si>
    <t>Mass</t>
  </si>
  <si>
    <t>Density</t>
  </si>
  <si>
    <t>Container weight (g)</t>
  </si>
  <si>
    <t>Container + Water (g)</t>
  </si>
  <si>
    <t>Container Volume (cm3)</t>
  </si>
  <si>
    <t>Pycnometer Weight (M0)</t>
  </si>
  <si>
    <t>Specific gravity SSD (M1-M0)/[(M4-M0)-(M2-M1)</t>
  </si>
  <si>
    <t>Specific gravity (Oven dry) (M3/[(M4-M0)-(M2-M1)</t>
  </si>
  <si>
    <t>Water absorption ((M1-M0-M3)*100)/M3</t>
  </si>
  <si>
    <t>23.245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</si>
</sst>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0.0"/>
  </numFmts>
  <fonts count="10" x14ac:knownFonts="1">
    <font>
      <sz val="12"/>
      <color theme="1"/>
      <name val="Times New Roman"/>
      <family val="2"/>
    </font>
    <font>
      <sz val="8"/>
      <name val="Times New Roman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6"/>
      <color rgb="FF000000"/>
      <name val="Barlow"/>
    </font>
    <font>
      <b/>
      <u/>
      <sz val="16"/>
      <color rgb="FFFF0000"/>
      <name val="Barlow"/>
    </font>
    <font>
      <sz val="16"/>
      <color rgb="FF000000"/>
      <name val="Barlow"/>
    </font>
    <font>
      <b/>
      <sz val="16"/>
      <color rgb="FFFF0000"/>
      <name val="Barlow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FFFF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</borders>
  <cellStyleXfs count="4">
    <xf numFmtId="0" fontId="0" fillId="0" borderId="0"/>
    <xf numFmtId="0" fontId="3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164" fontId="0" fillId="4" borderId="2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16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10" fontId="0" fillId="4" borderId="2" xfId="0" applyNumberFormat="1" applyFill="1" applyBorder="1" applyAlignment="1">
      <alignment horizontal="center" vertical="center"/>
    </xf>
    <xf numFmtId="10" fontId="0" fillId="2" borderId="2" xfId="0" applyNumberFormat="1" applyFill="1" applyBorder="1" applyAlignment="1">
      <alignment horizontal="center" vertical="center"/>
    </xf>
    <xf numFmtId="10" fontId="0" fillId="5" borderId="2" xfId="0" applyNumberFormat="1" applyFill="1" applyBorder="1" applyAlignment="1">
      <alignment horizontal="center" vertical="center"/>
    </xf>
    <xf numFmtId="10" fontId="0" fillId="3" borderId="2" xfId="0" applyNumberFormat="1" applyFill="1" applyBorder="1" applyAlignment="1">
      <alignment horizontal="center" vertical="center"/>
    </xf>
    <xf numFmtId="0" fontId="0" fillId="4" borderId="2" xfId="0" applyNumberFormat="1" applyFill="1" applyBorder="1" applyAlignment="1">
      <alignment horizontal="center" vertical="center"/>
    </xf>
    <xf numFmtId="0" fontId="0" fillId="5" borderId="2" xfId="0" applyNumberFormat="1" applyFill="1" applyBorder="1" applyAlignment="1">
      <alignment horizontal="center" vertical="center"/>
    </xf>
    <xf numFmtId="0" fontId="0" fillId="3" borderId="2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9" xfId="0" applyFont="1" applyBorder="1" applyAlignment="1">
      <alignment vertical="center" wrapText="1"/>
    </xf>
    <xf numFmtId="0" fontId="2" fillId="0" borderId="10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10" fontId="0" fillId="0" borderId="0" xfId="0" applyNumberFormat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10" fontId="2" fillId="0" borderId="12" xfId="0" applyNumberFormat="1" applyFont="1" applyBorder="1" applyAlignment="1">
      <alignment horizontal="center" vertical="center" wrapText="1"/>
    </xf>
    <xf numFmtId="0" fontId="2" fillId="0" borderId="12" xfId="0" applyNumberFormat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 vertical="center" wrapText="1"/>
    </xf>
    <xf numFmtId="0" fontId="4" fillId="0" borderId="1" xfId="1" applyFont="1" applyBorder="1" applyAlignment="1">
      <alignment horizontal="center"/>
    </xf>
    <xf numFmtId="0" fontId="4" fillId="7" borderId="1" xfId="1" applyFont="1" applyFill="1" applyBorder="1" applyAlignment="1">
      <alignment horizontal="center" vertical="center" wrapText="1"/>
    </xf>
    <xf numFmtId="0" fontId="4" fillId="7" borderId="1" xfId="1" applyFont="1" applyFill="1" applyBorder="1" applyAlignment="1">
      <alignment horizontal="center"/>
    </xf>
    <xf numFmtId="2" fontId="4" fillId="0" borderId="1" xfId="1" applyNumberFormat="1" applyFont="1" applyBorder="1" applyAlignment="1">
      <alignment horizontal="center" vertical="center" wrapText="1"/>
    </xf>
    <xf numFmtId="2" fontId="4" fillId="7" borderId="1" xfId="1" applyNumberFormat="1" applyFont="1" applyFill="1" applyBorder="1" applyAlignment="1">
      <alignment horizontal="center" vertical="center" wrapText="1"/>
    </xf>
    <xf numFmtId="2" fontId="4" fillId="0" borderId="1" xfId="2" applyNumberFormat="1" applyFont="1" applyBorder="1" applyAlignment="1">
      <alignment horizontal="center" vertical="center"/>
    </xf>
    <xf numFmtId="2" fontId="4" fillId="0" borderId="1" xfId="1" applyNumberFormat="1" applyFont="1" applyBorder="1" applyAlignment="1">
      <alignment horizontal="center"/>
    </xf>
    <xf numFmtId="2" fontId="4" fillId="7" borderId="1" xfId="1" applyNumberFormat="1" applyFont="1" applyFill="1" applyBorder="1" applyAlignment="1">
      <alignment horizontal="center"/>
    </xf>
    <xf numFmtId="164" fontId="4" fillId="0" borderId="1" xfId="1" applyNumberFormat="1" applyFont="1" applyBorder="1" applyAlignment="1">
      <alignment horizontal="center" vertical="center" wrapText="1"/>
    </xf>
    <xf numFmtId="164" fontId="4" fillId="0" borderId="1" xfId="1" applyNumberFormat="1" applyFont="1" applyBorder="1" applyAlignment="1">
      <alignment horizontal="center"/>
    </xf>
    <xf numFmtId="0" fontId="4" fillId="0" borderId="19" xfId="1" applyFont="1" applyBorder="1" applyAlignment="1">
      <alignment horizontal="center"/>
    </xf>
    <xf numFmtId="0" fontId="4" fillId="7" borderId="19" xfId="1" applyFont="1" applyFill="1" applyBorder="1" applyAlignment="1">
      <alignment horizontal="center"/>
    </xf>
    <xf numFmtId="164" fontId="5" fillId="0" borderId="1" xfId="1" applyNumberFormat="1" applyFont="1" applyBorder="1" applyAlignment="1">
      <alignment horizontal="center"/>
    </xf>
    <xf numFmtId="2" fontId="5" fillId="7" borderId="1" xfId="1" applyNumberFormat="1" applyFont="1" applyFill="1" applyBorder="1" applyAlignment="1">
      <alignment horizontal="center"/>
    </xf>
    <xf numFmtId="164" fontId="2" fillId="0" borderId="12" xfId="0" applyNumberFormat="1" applyFont="1" applyBorder="1" applyAlignment="1">
      <alignment horizontal="center" vertical="center" wrapText="1"/>
    </xf>
    <xf numFmtId="0" fontId="4" fillId="0" borderId="17" xfId="1" applyFont="1" applyBorder="1" applyAlignment="1">
      <alignment horizontal="center"/>
    </xf>
    <xf numFmtId="0" fontId="4" fillId="0" borderId="18" xfId="1" applyFont="1" applyBorder="1" applyAlignment="1">
      <alignment horizontal="center"/>
    </xf>
    <xf numFmtId="0" fontId="6" fillId="6" borderId="20" xfId="0" applyFont="1" applyFill="1" applyBorder="1" applyAlignment="1">
      <alignment horizontal="center" wrapText="1" readingOrder="1"/>
    </xf>
    <xf numFmtId="0" fontId="7" fillId="0" borderId="20" xfId="0" applyFont="1" applyBorder="1" applyAlignment="1">
      <alignment horizontal="center" wrapText="1" readingOrder="1"/>
    </xf>
    <xf numFmtId="0" fontId="8" fillId="0" borderId="21" xfId="0" applyFont="1" applyBorder="1" applyAlignment="1">
      <alignment horizontal="center" wrapText="1" readingOrder="1"/>
    </xf>
    <xf numFmtId="0" fontId="9" fillId="0" borderId="21" xfId="0" applyFont="1" applyBorder="1" applyAlignment="1">
      <alignment horizontal="center" wrapText="1" readingOrder="1"/>
    </xf>
    <xf numFmtId="0" fontId="8" fillId="0" borderId="22" xfId="0" applyFont="1" applyBorder="1" applyAlignment="1">
      <alignment horizontal="center" wrapText="1" readingOrder="1"/>
    </xf>
    <xf numFmtId="0" fontId="2" fillId="0" borderId="10" xfId="0" applyFont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/>
    </xf>
    <xf numFmtId="0" fontId="0" fillId="9" borderId="2" xfId="0" applyNumberForma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2" fillId="0" borderId="0" xfId="0" applyFont="1" applyFill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10" fontId="2" fillId="0" borderId="12" xfId="0" applyNumberFormat="1" applyFont="1" applyBorder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4" fillId="0" borderId="24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164" fontId="4" fillId="10" borderId="1" xfId="0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9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center" vertical="center"/>
    </xf>
    <xf numFmtId="1" fontId="4" fillId="9" borderId="1" xfId="0" applyNumberFormat="1" applyFont="1" applyFill="1" applyBorder="1" applyAlignment="1">
      <alignment horizontal="center" vertical="center"/>
    </xf>
    <xf numFmtId="165" fontId="4" fillId="9" borderId="1" xfId="0" applyNumberFormat="1" applyFont="1" applyFill="1" applyBorder="1" applyAlignment="1">
      <alignment horizontal="center" vertical="center"/>
    </xf>
    <xf numFmtId="2" fontId="4" fillId="9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/>
    <xf numFmtId="0" fontId="4" fillId="0" borderId="0" xfId="0" applyFont="1" applyAlignment="1">
      <alignment horizontal="right" vertical="center"/>
    </xf>
    <xf numFmtId="164" fontId="4" fillId="0" borderId="24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right" vertical="center"/>
    </xf>
    <xf numFmtId="0" fontId="4" fillId="9" borderId="0" xfId="0" applyFont="1" applyFill="1" applyBorder="1" applyAlignment="1">
      <alignment horizontal="left" vertical="center"/>
    </xf>
    <xf numFmtId="164" fontId="4" fillId="9" borderId="0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164" fontId="4" fillId="11" borderId="1" xfId="0" applyNumberFormat="1" applyFont="1" applyFill="1" applyBorder="1" applyAlignment="1">
      <alignment horizontal="center" vertical="center"/>
    </xf>
    <xf numFmtId="164" fontId="0" fillId="12" borderId="1" xfId="0" applyNumberFormat="1" applyFill="1" applyBorder="1" applyAlignment="1">
      <alignment horizontal="center" vertical="center"/>
    </xf>
    <xf numFmtId="2" fontId="4" fillId="12" borderId="1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4" fontId="0" fillId="5" borderId="3" xfId="0" applyNumberFormat="1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4" borderId="3" xfId="0" applyNumberFormat="1" applyFill="1" applyBorder="1" applyAlignment="1">
      <alignment horizontal="center" vertical="center"/>
    </xf>
    <xf numFmtId="164" fontId="0" fillId="4" borderId="4" xfId="0" applyNumberFormat="1" applyFill="1" applyBorder="1" applyAlignment="1">
      <alignment horizontal="center" vertical="center"/>
    </xf>
    <xf numFmtId="164" fontId="0" fillId="3" borderId="3" xfId="0" applyNumberFormat="1" applyFill="1" applyBorder="1" applyAlignment="1">
      <alignment horizontal="center" vertical="center"/>
    </xf>
    <xf numFmtId="164" fontId="0" fillId="3" borderId="4" xfId="0" applyNumberForma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9" fontId="0" fillId="3" borderId="2" xfId="0" applyNumberForma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9" fontId="0" fillId="4" borderId="2" xfId="0" applyNumberForma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9" fontId="0" fillId="5" borderId="2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2" fillId="0" borderId="14" xfId="0" applyFont="1" applyBorder="1" applyAlignment="1">
      <alignment vertical="center" wrapText="1"/>
    </xf>
    <xf numFmtId="0" fontId="2" fillId="0" borderId="23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2" fontId="0" fillId="4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2" fontId="0" fillId="5" borderId="2" xfId="0" applyNumberFormat="1" applyFill="1" applyBorder="1" applyAlignment="1">
      <alignment horizontal="center" vertical="center"/>
    </xf>
  </cellXfs>
  <cellStyles count="4">
    <cellStyle name="Comma 2" xfId="2" xr:uid="{25A23294-AAF4-4CD3-A44F-965CB664A674}"/>
    <cellStyle name="Normal" xfId="0" builtinId="0"/>
    <cellStyle name="Normal 2" xfId="1" xr:uid="{37FACF68-7160-4ADB-8C5B-A57C1A04BA63}"/>
    <cellStyle name="Percent 2" xfId="3" xr:uid="{E875675E-0AA1-41D7-BB68-D7047C3365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169647812891188"/>
          <c:y val="3.6303630363036306E-2"/>
          <c:w val="0.86018228613099035"/>
          <c:h val="0.8285484744044938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Compression!$B$1</c:f>
              <c:strCache>
                <c:ptCount val="1"/>
                <c:pt idx="0">
                  <c:v>00Al</c:v>
                </c:pt>
              </c:strCache>
            </c:strRef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(Compression!$A$5,Compression!$A$8,Compression!$A$11)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(Compression!$C$5,Compression!$C$8,Compression!$C$11)</c:f>
              <c:numCache>
                <c:formatCode>0.000</c:formatCode>
                <c:ptCount val="3"/>
                <c:pt idx="0">
                  <c:v>2.3650000000000002</c:v>
                </c:pt>
                <c:pt idx="1">
                  <c:v>2.4693333333333336</c:v>
                </c:pt>
                <c:pt idx="2">
                  <c:v>2.3843333333333336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4-49C6-AF5E-C0282DE8BD16}"/>
            </c:ext>
          </c:extLst>
        </c:ser>
        <c:ser>
          <c:idx val="1"/>
          <c:order val="1"/>
          <c:tx>
            <c:strRef>
              <c:f>Compression!$D$1</c:f>
              <c:strCache>
                <c:ptCount val="1"/>
                <c:pt idx="0">
                  <c:v>01Al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(Compression!$A$5,Compression!$A$8,Compression!$A$11)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(Compression!$E$5,Compression!$E$8,Compression!$E$11)</c:f>
              <c:numCache>
                <c:formatCode>0.000</c:formatCode>
                <c:ptCount val="3"/>
                <c:pt idx="0">
                  <c:v>2.3283333333333336</c:v>
                </c:pt>
                <c:pt idx="1">
                  <c:v>2.2673333333333336</c:v>
                </c:pt>
                <c:pt idx="2">
                  <c:v>2.3496666666666663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94-49C6-AF5E-C0282DE8BD16}"/>
            </c:ext>
          </c:extLst>
        </c:ser>
        <c:ser>
          <c:idx val="2"/>
          <c:order val="2"/>
          <c:tx>
            <c:strRef>
              <c:f>Compression!$F$1</c:f>
              <c:strCache>
                <c:ptCount val="1"/>
                <c:pt idx="0">
                  <c:v>02Al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prstDash val="lgDashDotDot"/>
              <a:round/>
            </a:ln>
            <a:effectLst/>
          </c:spPr>
          <c:marker>
            <c:symbol val="diamond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(Compression!$A$5,Compression!$A$8,Compression!$A$11)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(Compression!$G$5,Compression!$G$8,Compression!$G$11)</c:f>
              <c:numCache>
                <c:formatCode>0.000</c:formatCode>
                <c:ptCount val="3"/>
                <c:pt idx="0">
                  <c:v>2.2959999999999998</c:v>
                </c:pt>
                <c:pt idx="1">
                  <c:v>2.2203333333333335</c:v>
                </c:pt>
                <c:pt idx="2">
                  <c:v>2.2530000000000001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94-49C6-AF5E-C0282DE8BD16}"/>
            </c:ext>
          </c:extLst>
        </c:ser>
        <c:ser>
          <c:idx val="3"/>
          <c:order val="3"/>
          <c:tx>
            <c:strRef>
              <c:f>Compression!$H$1</c:f>
              <c:strCache>
                <c:ptCount val="1"/>
                <c:pt idx="0">
                  <c:v>03Al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(Compression!$A$5,Compression!$A$8,Compression!$A$11)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(Compression!$I$5,Compression!$I$8,Compression!$I$11)</c:f>
              <c:numCache>
                <c:formatCode>0.000</c:formatCode>
                <c:ptCount val="3"/>
                <c:pt idx="0">
                  <c:v>2.2606666666666664</c:v>
                </c:pt>
                <c:pt idx="1">
                  <c:v>2.1859999999999999</c:v>
                </c:pt>
                <c:pt idx="2">
                  <c:v>2.1816666666666666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94-49C6-AF5E-C0282DE8BD16}"/>
            </c:ext>
          </c:extLst>
        </c:ser>
        <c:ser>
          <c:idx val="4"/>
          <c:order val="4"/>
          <c:tx>
            <c:strRef>
              <c:f>Compression!$J$1</c:f>
              <c:strCache>
                <c:ptCount val="1"/>
                <c:pt idx="0">
                  <c:v>04Al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(Compression!$A$5,Compression!$A$8,Compression!$A$11)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(Compression!$K$5,Compression!$K$8,Compression!$K$11)</c:f>
              <c:numCache>
                <c:formatCode>0.000</c:formatCode>
                <c:ptCount val="3"/>
                <c:pt idx="0">
                  <c:v>2.1416666666666666</c:v>
                </c:pt>
                <c:pt idx="1">
                  <c:v>2.2639999999999998</c:v>
                </c:pt>
                <c:pt idx="2">
                  <c:v>2.1906666666666665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94-49C6-AF5E-C0282DE8BD16}"/>
            </c:ext>
          </c:extLst>
        </c:ser>
        <c:ser>
          <c:idx val="5"/>
          <c:order val="5"/>
          <c:tx>
            <c:strRef>
              <c:f>Compression!$L$1</c:f>
              <c:strCache>
                <c:ptCount val="1"/>
                <c:pt idx="0">
                  <c:v>05Al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plus"/>
            <c:size val="5"/>
            <c:spPr>
              <a:noFill/>
              <a:ln w="34925">
                <a:solidFill>
                  <a:schemeClr val="accent6"/>
                </a:solidFill>
              </a:ln>
              <a:effectLst/>
            </c:spPr>
          </c:marker>
          <c:xVal>
            <c:numRef>
              <c:f>(Compression!$A$5,Compression!$A$8,Compression!$A$11)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(Compression!$M$5,Compression!$M$8,Compression!$M$11)</c:f>
              <c:numCache>
                <c:formatCode>0.000</c:formatCode>
                <c:ptCount val="3"/>
                <c:pt idx="0">
                  <c:v>2.2176666666666667</c:v>
                </c:pt>
                <c:pt idx="1">
                  <c:v>2.2530000000000001</c:v>
                </c:pt>
                <c:pt idx="2">
                  <c:v>2.1840000000000002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94-49C6-AF5E-C0282DE8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348591"/>
        <c:axId val="632351087"/>
      </c:scatterChart>
      <c:valAx>
        <c:axId val="632348591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(Days)</a:t>
                </a:r>
              </a:p>
            </c:rich>
          </c:tx>
          <c:layout>
            <c:manualLayout>
              <c:xMode val="edge"/>
              <c:yMode val="edge"/>
              <c:x val="0.46898500662666387"/>
              <c:y val="0.951662741553000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51087"/>
        <c:crosses val="autoZero"/>
        <c:crossBetween val="midCat"/>
        <c:majorUnit val="7"/>
      </c:valAx>
      <c:valAx>
        <c:axId val="632351087"/>
        <c:scaling>
          <c:orientation val="minMax"/>
          <c:max val="2.5"/>
          <c:min val="2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Desnity (g/cm3)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48591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8688218309460493E-2"/>
          <c:y val="0.26351074237822175"/>
          <c:w val="0.14571110022050018"/>
          <c:h val="0.46476075105996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4125187234619712E-2"/>
          <c:y val="3.6303630363036306E-2"/>
          <c:w val="0.87763675631446669"/>
          <c:h val="0.82856942892921859"/>
        </c:manualLayout>
      </c:layout>
      <c:scatterChart>
        <c:scatterStyle val="smoothMarker"/>
        <c:varyColors val="0"/>
        <c:ser>
          <c:idx val="0"/>
          <c:order val="0"/>
          <c:tx>
            <c:strRef>
              <c:f>Compression!$B$1</c:f>
              <c:strCache>
                <c:ptCount val="1"/>
                <c:pt idx="0">
                  <c:v>00Al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(Compression!$A$15,Compression!$A$18,Compression!$A$21)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(Compression!$C$15,Compression!$C$18,Compression!$C$21)</c:f>
              <c:numCache>
                <c:formatCode>0.000</c:formatCode>
                <c:ptCount val="3"/>
                <c:pt idx="0">
                  <c:v>48.128666666666668</c:v>
                </c:pt>
                <c:pt idx="1">
                  <c:v>53.783333333333331</c:v>
                </c:pt>
                <c:pt idx="2">
                  <c:v>52.920999999999999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4-49C6-AF5E-C0282DE8BD16}"/>
            </c:ext>
          </c:extLst>
        </c:ser>
        <c:ser>
          <c:idx val="1"/>
          <c:order val="1"/>
          <c:tx>
            <c:strRef>
              <c:f>Compression!$D$1</c:f>
              <c:strCache>
                <c:ptCount val="1"/>
                <c:pt idx="0">
                  <c:v>01Al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dash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(Compression!$A$15,Compression!$A$18,Compression!$A$21)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(Compression!$E$15,Compression!$E$18,Compression!$E$21)</c:f>
              <c:numCache>
                <c:formatCode>0.000</c:formatCode>
                <c:ptCount val="3"/>
                <c:pt idx="0">
                  <c:v>30.985333333333333</c:v>
                </c:pt>
                <c:pt idx="1">
                  <c:v>29.782</c:v>
                </c:pt>
                <c:pt idx="2">
                  <c:v>32.292999999999999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94-49C6-AF5E-C0282DE8BD16}"/>
            </c:ext>
          </c:extLst>
        </c:ser>
        <c:ser>
          <c:idx val="2"/>
          <c:order val="2"/>
          <c:tx>
            <c:strRef>
              <c:f>Compression!$F$1</c:f>
              <c:strCache>
                <c:ptCount val="1"/>
                <c:pt idx="0">
                  <c:v>02Al</c:v>
                </c:pt>
              </c:strCache>
            </c:strRef>
          </c:tx>
          <c:spPr>
            <a:ln w="19050" cap="rnd">
              <a:solidFill>
                <a:schemeClr val="accent3">
                  <a:lumMod val="75000"/>
                </a:schemeClr>
              </a:solidFill>
              <a:prstDash val="lgDashDotDot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(Compression!$A$15,Compression!$A$18,Compression!$A$21)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(Compression!$G$15,Compression!$G$18,Compression!$G$21)</c:f>
              <c:numCache>
                <c:formatCode>0.000</c:formatCode>
                <c:ptCount val="3"/>
                <c:pt idx="0">
                  <c:v>25.482333333333333</c:v>
                </c:pt>
                <c:pt idx="1">
                  <c:v>20.259</c:v>
                </c:pt>
                <c:pt idx="2">
                  <c:v>28.212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94-49C6-AF5E-C0282DE8BD16}"/>
            </c:ext>
          </c:extLst>
        </c:ser>
        <c:ser>
          <c:idx val="3"/>
          <c:order val="3"/>
          <c:tx>
            <c:strRef>
              <c:f>Compression!$H$1</c:f>
              <c:strCache>
                <c:ptCount val="1"/>
                <c:pt idx="0">
                  <c:v>03Al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(Compression!$A$15,Compression!$A$18,Compression!$A$21)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(Compression!$I$15,Compression!$I$18,Compression!$I$21)</c:f>
              <c:numCache>
                <c:formatCode>0.000</c:formatCode>
                <c:ptCount val="3"/>
                <c:pt idx="0">
                  <c:v>21.890333333333334</c:v>
                </c:pt>
                <c:pt idx="1">
                  <c:v>20.972333333333335</c:v>
                </c:pt>
                <c:pt idx="2">
                  <c:v>25.930666666666667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494-49C6-AF5E-C0282DE8BD16}"/>
            </c:ext>
          </c:extLst>
        </c:ser>
        <c:ser>
          <c:idx val="4"/>
          <c:order val="4"/>
          <c:tx>
            <c:strRef>
              <c:f>Compression!$J$1</c:f>
              <c:strCache>
                <c:ptCount val="1"/>
                <c:pt idx="0">
                  <c:v>04Al</c:v>
                </c:pt>
              </c:strCache>
            </c:strRef>
          </c:tx>
          <c:spPr>
            <a:ln w="1905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x"/>
            <c:size val="5"/>
            <c:spPr>
              <a:noFill/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(Compression!$A$15,Compression!$A$18,Compression!$A$21)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(Compression!$K$15,Compression!$K$18,Compression!$K$21,Compression!$K$21)</c:f>
              <c:numCache>
                <c:formatCode>0.000</c:formatCode>
                <c:ptCount val="4"/>
                <c:pt idx="0">
                  <c:v>22.018333333333334</c:v>
                </c:pt>
                <c:pt idx="1">
                  <c:v>23.421666666666667</c:v>
                </c:pt>
                <c:pt idx="2">
                  <c:v>25.063333333333333</c:v>
                </c:pt>
                <c:pt idx="3">
                  <c:v>25.063333333333333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494-49C6-AF5E-C0282DE8BD16}"/>
            </c:ext>
          </c:extLst>
        </c:ser>
        <c:ser>
          <c:idx val="5"/>
          <c:order val="5"/>
          <c:tx>
            <c:strRef>
              <c:f>Compression!$L$1</c:f>
              <c:strCache>
                <c:ptCount val="1"/>
                <c:pt idx="0">
                  <c:v>05Al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plus"/>
            <c:size val="5"/>
            <c:spPr>
              <a:noFill/>
              <a:ln w="34925">
                <a:solidFill>
                  <a:schemeClr val="accent6"/>
                </a:solidFill>
              </a:ln>
              <a:effectLst/>
            </c:spPr>
          </c:marker>
          <c:xVal>
            <c:numRef>
              <c:f>(Compression!$A$15,Compression!$A$18,Compression!$A$21)</c:f>
              <c:numCache>
                <c:formatCode>General</c:formatCode>
                <c:ptCount val="3"/>
                <c:pt idx="0">
                  <c:v>7</c:v>
                </c:pt>
                <c:pt idx="1">
                  <c:v>14</c:v>
                </c:pt>
                <c:pt idx="2">
                  <c:v>28</c:v>
                </c:pt>
              </c:numCache>
            </c:numRef>
          </c:xVal>
          <c:yVal>
            <c:numRef>
              <c:f>(Compression!$M$15,Compression!$M$18,Compression!$M$21)</c:f>
              <c:numCache>
                <c:formatCode>0.000</c:formatCode>
                <c:ptCount val="3"/>
                <c:pt idx="0">
                  <c:v>23.265000000000001</c:v>
                </c:pt>
                <c:pt idx="1">
                  <c:v>23.483000000000001</c:v>
                </c:pt>
                <c:pt idx="2">
                  <c:v>23.295999999999999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94-49C6-AF5E-C0282DE8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348591"/>
        <c:axId val="632351087"/>
      </c:scatterChart>
      <c:valAx>
        <c:axId val="632348591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Time (Days)</a:t>
                </a:r>
              </a:p>
            </c:rich>
          </c:tx>
          <c:layout>
            <c:manualLayout>
              <c:xMode val="edge"/>
              <c:yMode val="edge"/>
              <c:x val="0.46898500662666387"/>
              <c:y val="0.951662741553000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51087"/>
        <c:crosses val="autoZero"/>
        <c:crossBetween val="midCat"/>
        <c:majorUnit val="7"/>
      </c:valAx>
      <c:valAx>
        <c:axId val="632351087"/>
        <c:scaling>
          <c:orientation val="minMax"/>
          <c:max val="5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Compressive Strength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4859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9.3295589650682256E-2"/>
          <c:y val="0.24799871439918034"/>
          <c:w val="0.14571110022050018"/>
          <c:h val="0.464760751059963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830064925360737E-2"/>
          <c:y val="5.261221333970053E-2"/>
          <c:w val="0.87646469510541369"/>
          <c:h val="0.80675387162996559"/>
        </c:manualLayout>
      </c:layout>
      <c:scatterChart>
        <c:scatterStyle val="smoothMarker"/>
        <c:varyColors val="0"/>
        <c:ser>
          <c:idx val="0"/>
          <c:order val="0"/>
          <c:tx>
            <c:v>Flexure</c:v>
          </c:tx>
          <c:spPr>
            <a:ln w="19050" cap="rnd">
              <a:noFill/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(Compression!$C$37,Compression!$E$37,Compression!$G$37,Compression!$I$37,Compression!$K$37,Compression!$M$37)</c:f>
              <c:numCache>
                <c:formatCode>General</c:formatCode>
                <c:ptCount val="6"/>
                <c:pt idx="0">
                  <c:v>3.2371580928845345E-2</c:v>
                </c:pt>
                <c:pt idx="1">
                  <c:v>4.8718913606284331E-2</c:v>
                </c:pt>
                <c:pt idx="2">
                  <c:v>5.2069149108015432E-2</c:v>
                </c:pt>
                <c:pt idx="3">
                  <c:v>5.8312626895397596E-2</c:v>
                </c:pt>
                <c:pt idx="4">
                  <c:v>5.46616959994645E-2</c:v>
                </c:pt>
                <c:pt idx="5">
                  <c:v>6.1766316062551743E-2</c:v>
                </c:pt>
              </c:numCache>
            </c:numRef>
          </c:xVal>
          <c:yVal>
            <c:numRef>
              <c:f>(Compression!$C$35,Compression!$E$35,Compression!$G$35,Compression!$I$35,Compression!$K$35,Compression!$M$35)</c:f>
              <c:numCache>
                <c:formatCode>General</c:formatCode>
                <c:ptCount val="6"/>
                <c:pt idx="0">
                  <c:v>9.3620000000000001</c:v>
                </c:pt>
                <c:pt idx="1">
                  <c:v>8.0890000000000004</c:v>
                </c:pt>
                <c:pt idx="2">
                  <c:v>7.6760000000000002</c:v>
                </c:pt>
                <c:pt idx="3">
                  <c:v>6.6520000000000001</c:v>
                </c:pt>
                <c:pt idx="4">
                  <c:v>6.1840000000000002</c:v>
                </c:pt>
                <c:pt idx="5">
                  <c:v>5.89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99-4B66-8409-7F73BDE7FC63}"/>
            </c:ext>
          </c:extLst>
        </c:ser>
        <c:ser>
          <c:idx val="1"/>
          <c:order val="1"/>
          <c:tx>
            <c:v>Split</c:v>
          </c:tx>
          <c:spPr>
            <a:ln w="19050" cap="rnd">
              <a:noFill/>
              <a:prstDash val="lgDashDot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(Compression!$C$37,Compression!$E$37,Compression!$G$37,Compression!$I$37,Compression!$K$37,Compression!$M$37)</c:f>
              <c:numCache>
                <c:formatCode>General</c:formatCode>
                <c:ptCount val="6"/>
                <c:pt idx="0">
                  <c:v>3.2371580928845345E-2</c:v>
                </c:pt>
                <c:pt idx="1">
                  <c:v>4.8718913606284331E-2</c:v>
                </c:pt>
                <c:pt idx="2">
                  <c:v>5.2069149108015432E-2</c:v>
                </c:pt>
                <c:pt idx="3">
                  <c:v>5.8312626895397596E-2</c:v>
                </c:pt>
                <c:pt idx="4">
                  <c:v>5.46616959994645E-2</c:v>
                </c:pt>
                <c:pt idx="5">
                  <c:v>6.1766316062551743E-2</c:v>
                </c:pt>
              </c:numCache>
            </c:numRef>
          </c:xVal>
          <c:yVal>
            <c:numRef>
              <c:f>(Compression!$C$29,Compression!$E$29,Compression!$G$29,Compression!$I$29,Compression!$K$29,Compression!$M$29)</c:f>
              <c:numCache>
                <c:formatCode>0.000</c:formatCode>
                <c:ptCount val="6"/>
                <c:pt idx="0">
                  <c:v>3.5273333333333334</c:v>
                </c:pt>
                <c:pt idx="1">
                  <c:v>3.4649999999999999</c:v>
                </c:pt>
                <c:pt idx="2">
                  <c:v>3.4289999999999998</c:v>
                </c:pt>
                <c:pt idx="3">
                  <c:v>3.4306666666666668</c:v>
                </c:pt>
                <c:pt idx="4">
                  <c:v>2.4860000000000002</c:v>
                </c:pt>
                <c:pt idx="5">
                  <c:v>2.4123333333333332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99-4B66-8409-7F73BDE7F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5871"/>
        <c:axId val="188498383"/>
      </c:scatterChart>
      <c:valAx>
        <c:axId val="188505871"/>
        <c:scaling>
          <c:orientation val="minMax"/>
          <c:max val="6.5000000000000016E-2"/>
          <c:min val="3.0000000000000006E-2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Aluminum Content (%)</a:t>
                </a:r>
              </a:p>
            </c:rich>
          </c:tx>
          <c:layout>
            <c:manualLayout>
              <c:xMode val="edge"/>
              <c:yMode val="edge"/>
              <c:x val="0.34060689306191444"/>
              <c:y val="0.92727538407480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8383"/>
        <c:crosses val="autoZero"/>
        <c:crossBetween val="midCat"/>
        <c:majorUnit val="1.0000000000000002E-2"/>
      </c:valAx>
      <c:valAx>
        <c:axId val="18849838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Strength (MPa)</a:t>
                </a:r>
              </a:p>
            </c:rich>
          </c:tx>
          <c:layout>
            <c:manualLayout>
              <c:xMode val="edge"/>
              <c:yMode val="edge"/>
              <c:x val="2.7892728519414438E-3"/>
              <c:y val="0.379534037315127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5871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49169846344235"/>
          <c:y val="3.8773002386122635E-2"/>
          <c:w val="0.23695121403610103"/>
          <c:h val="0.19648512660161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40125831143795"/>
          <c:y val="5.261221333970053E-2"/>
          <c:w val="0.59563621924897225"/>
          <c:h val="0.80675387162996559"/>
        </c:manualLayout>
      </c:layout>
      <c:scatterChart>
        <c:scatterStyle val="smoothMarker"/>
        <c:varyColors val="0"/>
        <c:ser>
          <c:idx val="4"/>
          <c:order val="0"/>
          <c:tx>
            <c:v>07d Cubes Density</c:v>
          </c:tx>
          <c:spPr>
            <a:ln w="19050" cap="rnd">
              <a:noFill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>
                    <a:lumMod val="75000"/>
                  </a:schemeClr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(Compression!$C$5,Compression!$E$5,Compression!$G$5,Compression!$I$5,Compression!$K$5,Compression!$M$5)</c:f>
              <c:numCache>
                <c:formatCode>0.000</c:formatCode>
                <c:ptCount val="6"/>
                <c:pt idx="0">
                  <c:v>2.3650000000000002</c:v>
                </c:pt>
                <c:pt idx="1">
                  <c:v>2.3283333333333336</c:v>
                </c:pt>
                <c:pt idx="2">
                  <c:v>2.2959999999999998</c:v>
                </c:pt>
                <c:pt idx="3">
                  <c:v>2.2606666666666664</c:v>
                </c:pt>
                <c:pt idx="4">
                  <c:v>2.1416666666666666</c:v>
                </c:pt>
                <c:pt idx="5">
                  <c:v>2.2176666666666667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B2-47FA-8D17-90C9B17D1A5C}"/>
            </c:ext>
          </c:extLst>
        </c:ser>
        <c:ser>
          <c:idx val="3"/>
          <c:order val="1"/>
          <c:tx>
            <c:v>14d Cubes Density</c:v>
          </c:tx>
          <c:spPr>
            <a:ln w="19050" cap="rnd">
              <a:noFill/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(Compression!$C$8,Compression!$E$8,Compression!$G$8,Compression!$I$8,Compression!$K$8,Compression!$M$8)</c:f>
              <c:numCache>
                <c:formatCode>0.000</c:formatCode>
                <c:ptCount val="6"/>
                <c:pt idx="0">
                  <c:v>2.4693333333333336</c:v>
                </c:pt>
                <c:pt idx="1">
                  <c:v>2.2673333333333336</c:v>
                </c:pt>
                <c:pt idx="2">
                  <c:v>2.2203333333333335</c:v>
                </c:pt>
                <c:pt idx="3">
                  <c:v>2.1859999999999999</c:v>
                </c:pt>
                <c:pt idx="4">
                  <c:v>2.2639999999999998</c:v>
                </c:pt>
                <c:pt idx="5">
                  <c:v>2.2530000000000001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B2-47FA-8D17-90C9B17D1A5C}"/>
            </c:ext>
          </c:extLst>
        </c:ser>
        <c:ser>
          <c:idx val="2"/>
          <c:order val="2"/>
          <c:tx>
            <c:v>28d Cubes density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tx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(Compression!$C$11,Compression!$E$11,Compression!$G$11,Compression!$I$11,Compression!$K$11,Compression!$M$11)</c:f>
              <c:numCache>
                <c:formatCode>0.000</c:formatCode>
                <c:ptCount val="6"/>
                <c:pt idx="0">
                  <c:v>2.3843333333333336</c:v>
                </c:pt>
                <c:pt idx="1">
                  <c:v>2.3496666666666663</c:v>
                </c:pt>
                <c:pt idx="2">
                  <c:v>2.2530000000000001</c:v>
                </c:pt>
                <c:pt idx="3">
                  <c:v>2.1816666666666666</c:v>
                </c:pt>
                <c:pt idx="4">
                  <c:v>2.1906666666666665</c:v>
                </c:pt>
                <c:pt idx="5">
                  <c:v>2.1840000000000002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B2-47FA-8D17-90C9B17D1A5C}"/>
            </c:ext>
          </c:extLst>
        </c:ser>
        <c:ser>
          <c:idx val="0"/>
          <c:order val="3"/>
          <c:tx>
            <c:v>Cylinder Density</c:v>
          </c:tx>
          <c:spPr>
            <a:ln w="19050" cap="rnd">
              <a:noFill/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0"/>
            <c:dispEq val="0"/>
          </c:trendline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(Compression!$C$25,Compression!$E$25,Compression!$G$25,Compression!$I$25,Compression!$K$25,Compression!$M$25)</c:f>
              <c:numCache>
                <c:formatCode>0.000</c:formatCode>
                <c:ptCount val="6"/>
                <c:pt idx="0">
                  <c:v>2.5029767383585404</c:v>
                </c:pt>
                <c:pt idx="1">
                  <c:v>2.4166086559073388</c:v>
                </c:pt>
                <c:pt idx="2">
                  <c:v>2.391780484785003</c:v>
                </c:pt>
                <c:pt idx="3">
                  <c:v>2.3349091184534991</c:v>
                </c:pt>
                <c:pt idx="4">
                  <c:v>2.3223889295969364</c:v>
                </c:pt>
                <c:pt idx="5">
                  <c:v>2.2911945607509252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99-4B66-8409-7F73BDE7FC63}"/>
            </c:ext>
          </c:extLst>
        </c:ser>
        <c:ser>
          <c:idx val="1"/>
          <c:order val="4"/>
          <c:tx>
            <c:v>Beams Density</c:v>
          </c:tx>
          <c:spPr>
            <a:ln w="19050" cap="rnd">
              <a:noFill/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-9.6637824738318358E-3"/>
                  <c:y val="0.2564127102972096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(Compression!$B$33,Compression!$D$33,Compression!$F$33,Compression!$H$33,Compression!$J$33,Compression!$L$33)</c:f>
              <c:numCache>
                <c:formatCode>0.000</c:formatCode>
                <c:ptCount val="6"/>
                <c:pt idx="0">
                  <c:v>2.5845714285714285</c:v>
                </c:pt>
                <c:pt idx="1">
                  <c:v>2.5491428571428569</c:v>
                </c:pt>
                <c:pt idx="2">
                  <c:v>2.4971428571428573</c:v>
                </c:pt>
                <c:pt idx="3">
                  <c:v>2.3251428571428572</c:v>
                </c:pt>
                <c:pt idx="4" formatCode="General">
                  <c:v>2.3319999999999999</c:v>
                </c:pt>
                <c:pt idx="5" formatCode="General">
                  <c:v>2.2799999999999998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99-4B66-8409-7F73BDE7F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5871"/>
        <c:axId val="188498383"/>
      </c:scatterChart>
      <c:valAx>
        <c:axId val="188505871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Aluminum Content (%)</a:t>
                </a:r>
              </a:p>
            </c:rich>
          </c:tx>
          <c:layout>
            <c:manualLayout>
              <c:xMode val="edge"/>
              <c:yMode val="edge"/>
              <c:x val="0.34060689306191444"/>
              <c:y val="0.92727538407480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8383"/>
        <c:crosses val="autoZero"/>
        <c:crossBetween val="midCat"/>
      </c:valAx>
      <c:valAx>
        <c:axId val="188498383"/>
        <c:scaling>
          <c:orientation val="minMax"/>
          <c:max val="2.7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 (g/cm3)</a:t>
                </a:r>
              </a:p>
            </c:rich>
          </c:tx>
          <c:layout>
            <c:manualLayout>
              <c:xMode val="edge"/>
              <c:yMode val="edge"/>
              <c:x val="2.7892728519414438E-3"/>
              <c:y val="0.379534037315127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587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33731191696412"/>
          <c:y val="0"/>
          <c:w val="0.27244965515204567"/>
          <c:h val="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381364319006726E-2"/>
          <c:y val="5.261221333970053E-2"/>
          <c:w val="0.89052345646691811"/>
          <c:h val="0.80675387162996559"/>
        </c:manualLayout>
      </c:layout>
      <c:scatterChart>
        <c:scatterStyle val="smoothMarker"/>
        <c:varyColors val="0"/>
        <c:ser>
          <c:idx val="0"/>
          <c:order val="0"/>
          <c:tx>
            <c:v>Flexure</c:v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(Compression!$C$35,Compression!$E$35,Compression!$G$35,Compression!$I$35,Compression!$K$35,Compression!$M$35)</c:f>
              <c:numCache>
                <c:formatCode>General</c:formatCode>
                <c:ptCount val="6"/>
                <c:pt idx="0">
                  <c:v>9.3620000000000001</c:v>
                </c:pt>
                <c:pt idx="1">
                  <c:v>8.0890000000000004</c:v>
                </c:pt>
                <c:pt idx="2">
                  <c:v>7.6760000000000002</c:v>
                </c:pt>
                <c:pt idx="3">
                  <c:v>6.6520000000000001</c:v>
                </c:pt>
                <c:pt idx="4">
                  <c:v>6.1840000000000002</c:v>
                </c:pt>
                <c:pt idx="5">
                  <c:v>5.89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99-4B66-8409-7F73BDE7FC63}"/>
            </c:ext>
          </c:extLst>
        </c:ser>
        <c:ser>
          <c:idx val="1"/>
          <c:order val="1"/>
          <c:tx>
            <c:v>Split</c:v>
          </c:tx>
          <c:spPr>
            <a:ln w="19050" cap="rnd">
              <a:solidFill>
                <a:schemeClr val="tx1"/>
              </a:solidFill>
              <a:prstDash val="lgDashDot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(Compression!$C$29,Compression!$E$29,Compression!$G$29,Compression!$I$29,Compression!$K$29,Compression!$M$29)</c:f>
              <c:numCache>
                <c:formatCode>0.000</c:formatCode>
                <c:ptCount val="6"/>
                <c:pt idx="0">
                  <c:v>3.5273333333333334</c:v>
                </c:pt>
                <c:pt idx="1">
                  <c:v>3.4649999999999999</c:v>
                </c:pt>
                <c:pt idx="2">
                  <c:v>3.4289999999999998</c:v>
                </c:pt>
                <c:pt idx="3">
                  <c:v>3.4306666666666668</c:v>
                </c:pt>
                <c:pt idx="4">
                  <c:v>2.4860000000000002</c:v>
                </c:pt>
                <c:pt idx="5">
                  <c:v>2.4123333333333332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99-4B66-8409-7F73BDE7F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5871"/>
        <c:axId val="188498383"/>
      </c:scatterChart>
      <c:valAx>
        <c:axId val="188505871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Aluminum Content (%)</a:t>
                </a:r>
              </a:p>
            </c:rich>
          </c:tx>
          <c:layout>
            <c:manualLayout>
              <c:xMode val="edge"/>
              <c:yMode val="edge"/>
              <c:x val="0.34060689306191444"/>
              <c:y val="0.92727538407480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8383"/>
        <c:crosses val="autoZero"/>
        <c:crossBetween val="midCat"/>
        <c:majorUnit val="1"/>
      </c:valAx>
      <c:valAx>
        <c:axId val="188498383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Strength (MPa)</a:t>
                </a:r>
              </a:p>
            </c:rich>
          </c:tx>
          <c:layout>
            <c:manualLayout>
              <c:xMode val="edge"/>
              <c:yMode val="edge"/>
              <c:x val="2.7892728519414438E-3"/>
              <c:y val="0.379534037315127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5871"/>
        <c:crosses val="autoZero"/>
        <c:crossBetween val="midCat"/>
        <c:majorUnit val="1"/>
        <c:minorUnit val="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649169846344235"/>
          <c:y val="3.8773002386122635E-2"/>
          <c:w val="0.23695121403610103"/>
          <c:h val="0.1964851266016158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72115350689115"/>
          <c:y val="3.6303630363036306E-2"/>
          <c:w val="0.85114061261175156"/>
          <c:h val="0.82854847440449386"/>
        </c:manualLayout>
      </c:layout>
      <c:scatterChart>
        <c:scatterStyle val="smoothMarker"/>
        <c:varyColors val="0"/>
        <c:ser>
          <c:idx val="0"/>
          <c:order val="0"/>
          <c:tx>
            <c:v>7 Days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D6F1-4A19-BD83-772CAE546E2A}"/>
              </c:ext>
            </c:extLst>
          </c:dPt>
          <c:dPt>
            <c:idx val="4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F1-4A19-BD83-772CAE546E2A}"/>
              </c:ext>
            </c:extLst>
          </c:dPt>
          <c:dPt>
            <c:idx val="5"/>
            <c:marker>
              <c:symbol val="plus"/>
              <c:size val="5"/>
              <c:spPr>
                <a:noFill/>
                <a:ln w="349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4"/>
                </a:solidFill>
                <a:prstDash val="sysDash"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F1-4A19-BD83-772CAE546E2A}"/>
              </c:ext>
            </c:extLst>
          </c:dPt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(Compression!$C$5,Compression!$E$5,Compression!$G$5,Compression!$I$5,Compression!$K$5,Compression!$M$5)</c:f>
              <c:numCache>
                <c:formatCode>0.000</c:formatCode>
                <c:ptCount val="6"/>
                <c:pt idx="0">
                  <c:v>2.3650000000000002</c:v>
                </c:pt>
                <c:pt idx="1">
                  <c:v>2.3283333333333336</c:v>
                </c:pt>
                <c:pt idx="2">
                  <c:v>2.2959999999999998</c:v>
                </c:pt>
                <c:pt idx="3">
                  <c:v>2.2606666666666664</c:v>
                </c:pt>
                <c:pt idx="4">
                  <c:v>2.1416666666666666</c:v>
                </c:pt>
                <c:pt idx="5">
                  <c:v>2.2176666666666667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4-49C6-AF5E-C0282DE8BD16}"/>
            </c:ext>
          </c:extLst>
        </c:ser>
        <c:ser>
          <c:idx val="1"/>
          <c:order val="1"/>
          <c:tx>
            <c:v>14 Days</c:v>
          </c:tx>
          <c:spPr>
            <a:ln w="19050" cap="rnd">
              <a:solidFill>
                <a:schemeClr val="accent2"/>
              </a:solidFill>
              <a:prstDash val="lgDashDot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(Compression!$C$8,Compression!$E$8,Compression!$G$8,Compression!$I$8,Compression!$K$8,Compression!$M$8)</c:f>
              <c:numCache>
                <c:formatCode>0.000</c:formatCode>
                <c:ptCount val="6"/>
                <c:pt idx="0">
                  <c:v>2.4693333333333336</c:v>
                </c:pt>
                <c:pt idx="1">
                  <c:v>2.2673333333333336</c:v>
                </c:pt>
                <c:pt idx="2">
                  <c:v>2.2203333333333335</c:v>
                </c:pt>
                <c:pt idx="3">
                  <c:v>2.1859999999999999</c:v>
                </c:pt>
                <c:pt idx="4">
                  <c:v>2.2639999999999998</c:v>
                </c:pt>
                <c:pt idx="5">
                  <c:v>2.2530000000000001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94-49C6-AF5E-C0282DE8BD16}"/>
            </c:ext>
          </c:extLst>
        </c:ser>
        <c:ser>
          <c:idx val="5"/>
          <c:order val="2"/>
          <c:tx>
            <c:v>28 Days</c:v>
          </c:tx>
          <c:spPr>
            <a:ln w="19050" cap="rnd">
              <a:solidFill>
                <a:schemeClr val="accent6"/>
              </a:solidFill>
              <a:prstDash val="lgDash"/>
              <a:round/>
            </a:ln>
            <a:effectLst/>
          </c:spPr>
          <c:marker>
            <c:symbol val="diamond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(Compression!$C$11,Compression!$E$11,Compression!$G$11,Compression!$I$11,Compression!$K$11,Compression!$M$11)</c:f>
              <c:numCache>
                <c:formatCode>0.000</c:formatCode>
                <c:ptCount val="6"/>
                <c:pt idx="0">
                  <c:v>2.3843333333333336</c:v>
                </c:pt>
                <c:pt idx="1">
                  <c:v>2.3496666666666663</c:v>
                </c:pt>
                <c:pt idx="2">
                  <c:v>2.2530000000000001</c:v>
                </c:pt>
                <c:pt idx="3">
                  <c:v>2.1816666666666666</c:v>
                </c:pt>
                <c:pt idx="4">
                  <c:v>2.1906666666666665</c:v>
                </c:pt>
                <c:pt idx="5">
                  <c:v>2.1840000000000002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494-49C6-AF5E-C0282DE8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348591"/>
        <c:axId val="632351087"/>
      </c:scatterChart>
      <c:valAx>
        <c:axId val="632348591"/>
        <c:scaling>
          <c:orientation val="minMax"/>
          <c:max val="5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Aluminum Content (%)</a:t>
                </a:r>
              </a:p>
            </c:rich>
          </c:tx>
          <c:layout>
            <c:manualLayout>
              <c:xMode val="edge"/>
              <c:yMode val="edge"/>
              <c:x val="0.46898500662666387"/>
              <c:y val="0.951662741553000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51087"/>
        <c:crosses val="autoZero"/>
        <c:crossBetween val="midCat"/>
        <c:majorUnit val="1"/>
      </c:valAx>
      <c:valAx>
        <c:axId val="632351087"/>
        <c:scaling>
          <c:orientation val="minMax"/>
          <c:max val="2.5"/>
          <c:min val="2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Desnity (g/cm3)</a:t>
                </a:r>
              </a:p>
            </c:rich>
          </c:tx>
          <c:layout>
            <c:manualLayout>
              <c:xMode val="edge"/>
              <c:yMode val="edge"/>
              <c:x val="1.9610182479909638E-3"/>
              <c:y val="0.301109636031326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48591"/>
        <c:crosses val="autoZero"/>
        <c:crossBetween val="midCat"/>
        <c:majorUnit val="5.000000000000001E-2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196247311047085"/>
          <c:y val="9.1741012591343818E-2"/>
          <c:w val="0.18601626878346667"/>
          <c:h val="0.247185634933682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3046022448055835E-2"/>
          <c:y val="3.6303630363036306E-2"/>
          <c:w val="0.86121906937910775"/>
          <c:h val="0.82856942892921859"/>
        </c:manualLayout>
      </c:layout>
      <c:scatterChart>
        <c:scatterStyle val="smoothMarker"/>
        <c:varyColors val="0"/>
        <c:ser>
          <c:idx val="0"/>
          <c:order val="0"/>
          <c:tx>
            <c:v>7 Days</c:v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1"/>
                </a:solidFill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02B-4C66-AC01-5B012D3C4B12}"/>
              </c:ext>
            </c:extLst>
          </c:dPt>
          <c:dPt>
            <c:idx val="4"/>
            <c:marker>
              <c:symbol val="x"/>
              <c:size val="5"/>
              <c:spPr>
                <a:noFill/>
                <a:ln w="95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502B-4C66-AC01-5B012D3C4B12}"/>
              </c:ext>
            </c:extLst>
          </c:dPt>
          <c:dPt>
            <c:idx val="5"/>
            <c:marker>
              <c:symbol val="plus"/>
              <c:size val="5"/>
              <c:spPr>
                <a:noFill/>
                <a:ln w="34925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19050" cap="rnd">
                <a:noFill/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02B-4C66-AC01-5B012D3C4B12}"/>
              </c:ext>
            </c:extLst>
          </c:dPt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53712173131143115"/>
                  <c:y val="3.864943016283139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(Compression!$C$37,Compression!$E$37,Compression!$G$37,Compression!$I$37,Compression!$K$37,Compression!$M$37)</c:f>
              <c:numCache>
                <c:formatCode>General</c:formatCode>
                <c:ptCount val="6"/>
                <c:pt idx="0">
                  <c:v>3.2371580928845345E-2</c:v>
                </c:pt>
                <c:pt idx="1">
                  <c:v>4.8718913606284331E-2</c:v>
                </c:pt>
                <c:pt idx="2">
                  <c:v>5.2069149108015432E-2</c:v>
                </c:pt>
                <c:pt idx="3">
                  <c:v>5.8312626895397596E-2</c:v>
                </c:pt>
                <c:pt idx="4">
                  <c:v>5.46616959994645E-2</c:v>
                </c:pt>
                <c:pt idx="5">
                  <c:v>6.1766316062551743E-2</c:v>
                </c:pt>
              </c:numCache>
            </c:numRef>
          </c:xVal>
          <c:yVal>
            <c:numRef>
              <c:f>(Compression!$C$15,Compression!$E$15,Compression!$G$15,Compression!$I$15,Compression!$K$15,Compression!$M$15)</c:f>
              <c:numCache>
                <c:formatCode>0.000</c:formatCode>
                <c:ptCount val="6"/>
                <c:pt idx="0">
                  <c:v>48.128666666666668</c:v>
                </c:pt>
                <c:pt idx="1">
                  <c:v>30.985333333333333</c:v>
                </c:pt>
                <c:pt idx="2">
                  <c:v>25.482333333333333</c:v>
                </c:pt>
                <c:pt idx="3">
                  <c:v>21.890333333333334</c:v>
                </c:pt>
                <c:pt idx="4">
                  <c:v>22.018333333333334</c:v>
                </c:pt>
                <c:pt idx="5">
                  <c:v>23.265000000000001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94-49C6-AF5E-C0282DE8BD16}"/>
            </c:ext>
          </c:extLst>
        </c:ser>
        <c:ser>
          <c:idx val="1"/>
          <c:order val="1"/>
          <c:tx>
            <c:v>14 Days</c:v>
          </c:tx>
          <c:spPr>
            <a:ln w="19050" cap="rnd">
              <a:noFill/>
              <a:prstDash val="lgDashDot"/>
              <a:round/>
            </a:ln>
            <a:effectLst/>
          </c:spPr>
          <c:marker>
            <c:symbol val="diamond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xVal>
            <c:numRef>
              <c:f>(Compression!$C$37,Compression!$E$37,Compression!$G$37,Compression!$I$37,Compression!$K$37,Compression!$M$37)</c:f>
              <c:numCache>
                <c:formatCode>General</c:formatCode>
                <c:ptCount val="6"/>
                <c:pt idx="0">
                  <c:v>3.2371580928845345E-2</c:v>
                </c:pt>
                <c:pt idx="1">
                  <c:v>4.8718913606284331E-2</c:v>
                </c:pt>
                <c:pt idx="2">
                  <c:v>5.2069149108015432E-2</c:v>
                </c:pt>
                <c:pt idx="3">
                  <c:v>5.8312626895397596E-2</c:v>
                </c:pt>
                <c:pt idx="4">
                  <c:v>5.46616959994645E-2</c:v>
                </c:pt>
                <c:pt idx="5">
                  <c:v>6.1766316062551743E-2</c:v>
                </c:pt>
              </c:numCache>
            </c:numRef>
          </c:xVal>
          <c:yVal>
            <c:numRef>
              <c:f>(Compression!$C$18,Compression!$E$18,Compression!$G$18,Compression!$I$18,Compression!$K$18,Compression!$M$18)</c:f>
              <c:numCache>
                <c:formatCode>0.000</c:formatCode>
                <c:ptCount val="6"/>
                <c:pt idx="0">
                  <c:v>53.783333333333331</c:v>
                </c:pt>
                <c:pt idx="1">
                  <c:v>29.782</c:v>
                </c:pt>
                <c:pt idx="2">
                  <c:v>20.259</c:v>
                </c:pt>
                <c:pt idx="3">
                  <c:v>20.972333333333335</c:v>
                </c:pt>
                <c:pt idx="4">
                  <c:v>23.421666666666667</c:v>
                </c:pt>
                <c:pt idx="5">
                  <c:v>23.483000000000001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494-49C6-AF5E-C0282DE8BD16}"/>
            </c:ext>
          </c:extLst>
        </c:ser>
        <c:ser>
          <c:idx val="2"/>
          <c:order val="2"/>
          <c:tx>
            <c:v>28 Days</c:v>
          </c:tx>
          <c:spPr>
            <a:ln w="19050" cap="rnd">
              <a:noFill/>
              <a:prstDash val="sysDash"/>
              <a:round/>
            </a:ln>
            <a:effectLst/>
          </c:spPr>
          <c:marker>
            <c:symbol val="triang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exp"/>
            <c:dispRSqr val="1"/>
            <c:dispEq val="1"/>
            <c:trendlineLbl>
              <c:layout>
                <c:manualLayout>
                  <c:x val="-0.29085684115000443"/>
                  <c:y val="-0.5082370071793181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(Compression!$C$37,Compression!$E$37,Compression!$G$37,Compression!$I$37,Compression!$K$37,Compression!$M$37)</c:f>
              <c:numCache>
                <c:formatCode>General</c:formatCode>
                <c:ptCount val="6"/>
                <c:pt idx="0">
                  <c:v>3.2371580928845345E-2</c:v>
                </c:pt>
                <c:pt idx="1">
                  <c:v>4.8718913606284331E-2</c:v>
                </c:pt>
                <c:pt idx="2">
                  <c:v>5.2069149108015432E-2</c:v>
                </c:pt>
                <c:pt idx="3">
                  <c:v>5.8312626895397596E-2</c:v>
                </c:pt>
                <c:pt idx="4">
                  <c:v>5.46616959994645E-2</c:v>
                </c:pt>
                <c:pt idx="5">
                  <c:v>6.1766316062551743E-2</c:v>
                </c:pt>
              </c:numCache>
            </c:numRef>
          </c:xVal>
          <c:yVal>
            <c:numRef>
              <c:f>(Compression!$C$21,Compression!$E$21,Compression!$G$21,Compression!$I$21,Compression!$K$21,Compression!$M$21)</c:f>
              <c:numCache>
                <c:formatCode>0.000</c:formatCode>
                <c:ptCount val="6"/>
                <c:pt idx="0">
                  <c:v>52.920999999999999</c:v>
                </c:pt>
                <c:pt idx="1">
                  <c:v>32.292999999999999</c:v>
                </c:pt>
                <c:pt idx="2">
                  <c:v>28.212</c:v>
                </c:pt>
                <c:pt idx="3">
                  <c:v>25.930666666666667</c:v>
                </c:pt>
                <c:pt idx="4">
                  <c:v>25.063333333333333</c:v>
                </c:pt>
                <c:pt idx="5">
                  <c:v>23.295999999999999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494-49C6-AF5E-C0282DE8BD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32348591"/>
        <c:axId val="632351087"/>
      </c:scatterChart>
      <c:valAx>
        <c:axId val="632348591"/>
        <c:scaling>
          <c:orientation val="minMax"/>
          <c:max val="6.5000000000000016E-2"/>
          <c:min val="3.0000000000000006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Porosity (%)</a:t>
                </a:r>
              </a:p>
            </c:rich>
          </c:tx>
          <c:layout>
            <c:manualLayout>
              <c:xMode val="edge"/>
              <c:yMode val="edge"/>
              <c:x val="0.46898500662666387"/>
              <c:y val="0.9516627415530001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51087"/>
        <c:crosses val="autoZero"/>
        <c:crossBetween val="midCat"/>
        <c:majorUnit val="1.0000000000000002E-2"/>
      </c:valAx>
      <c:valAx>
        <c:axId val="632351087"/>
        <c:scaling>
          <c:orientation val="minMax"/>
          <c:max val="5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200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Compressive Strength (MPa)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32348591"/>
        <c:crosses val="autoZero"/>
        <c:crossBetween val="midCat"/>
        <c:majorUnit val="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65191814965868"/>
          <c:y val="0.13471086543928346"/>
          <c:w val="0.20454043489571561"/>
          <c:h val="0.3339032661243897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081465984652863"/>
          <c:y val="5.261221333970053E-2"/>
          <c:w val="0.86741119096082075"/>
          <c:h val="0.80675387162996559"/>
        </c:manualLayout>
      </c:layout>
      <c:scatterChart>
        <c:scatterStyle val="smoothMarker"/>
        <c:varyColors val="0"/>
        <c:ser>
          <c:idx val="4"/>
          <c:order val="0"/>
          <c:tx>
            <c:v>07d Cubes Density</c:v>
          </c:tx>
          <c:spPr>
            <a:ln w="19050" cap="rnd">
              <a:solidFill>
                <a:schemeClr val="accent6">
                  <a:lumMod val="75000"/>
                </a:schemeClr>
              </a:solidFill>
              <a:prstDash val="lgDashDotDot"/>
              <a:round/>
            </a:ln>
            <a:effectLst/>
          </c:spPr>
          <c:marker>
            <c:symbol val="star"/>
            <c:size val="7"/>
            <c:spPr>
              <a:noFill/>
              <a:ln w="9525">
                <a:solidFill>
                  <a:schemeClr val="accent6">
                    <a:lumMod val="75000"/>
                  </a:schemeClr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(Compression!$C$5,Compression!$E$5,Compression!$G$5,Compression!$I$5,Compression!$K$5,Compression!$M$5)</c:f>
              <c:numCache>
                <c:formatCode>0.000</c:formatCode>
                <c:ptCount val="6"/>
                <c:pt idx="0">
                  <c:v>2.3650000000000002</c:v>
                </c:pt>
                <c:pt idx="1">
                  <c:v>2.3283333333333336</c:v>
                </c:pt>
                <c:pt idx="2">
                  <c:v>2.2959999999999998</c:v>
                </c:pt>
                <c:pt idx="3">
                  <c:v>2.2606666666666664</c:v>
                </c:pt>
                <c:pt idx="4">
                  <c:v>2.1416666666666666</c:v>
                </c:pt>
                <c:pt idx="5">
                  <c:v>2.2176666666666667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9B2-47FA-8D17-90C9B17D1A5C}"/>
            </c:ext>
          </c:extLst>
        </c:ser>
        <c:ser>
          <c:idx val="3"/>
          <c:order val="1"/>
          <c:tx>
            <c:v>14d Cubes Density</c:v>
          </c:tx>
          <c:spPr>
            <a:ln w="19050" cap="rnd">
              <a:solidFill>
                <a:schemeClr val="accent4"/>
              </a:solidFill>
              <a:prstDash val="lgDashDot"/>
              <a:round/>
            </a:ln>
            <a:effectLst/>
          </c:spPr>
          <c:marker>
            <c:symbol val="triang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(Compression!$C$8,Compression!$E$8,Compression!$G$8,Compression!$I$8,Compression!$K$8,Compression!$M$8)</c:f>
              <c:numCache>
                <c:formatCode>0.000</c:formatCode>
                <c:ptCount val="6"/>
                <c:pt idx="0">
                  <c:v>2.4693333333333336</c:v>
                </c:pt>
                <c:pt idx="1">
                  <c:v>2.2673333333333336</c:v>
                </c:pt>
                <c:pt idx="2">
                  <c:v>2.2203333333333335</c:v>
                </c:pt>
                <c:pt idx="3">
                  <c:v>2.1859999999999999</c:v>
                </c:pt>
                <c:pt idx="4">
                  <c:v>2.2639999999999998</c:v>
                </c:pt>
                <c:pt idx="5">
                  <c:v>2.2530000000000001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9B2-47FA-8D17-90C9B17D1A5C}"/>
            </c:ext>
          </c:extLst>
        </c:ser>
        <c:ser>
          <c:idx val="2"/>
          <c:order val="2"/>
          <c:tx>
            <c:v>28d Cubes density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(Compression!$C$11,Compression!$E$11,Compression!$G$11,Compression!$I$11,Compression!$K$11,Compression!$M$11)</c:f>
              <c:numCache>
                <c:formatCode>0.000</c:formatCode>
                <c:ptCount val="6"/>
                <c:pt idx="0">
                  <c:v>2.3843333333333336</c:v>
                </c:pt>
                <c:pt idx="1">
                  <c:v>2.3496666666666663</c:v>
                </c:pt>
                <c:pt idx="2">
                  <c:v>2.2530000000000001</c:v>
                </c:pt>
                <c:pt idx="3">
                  <c:v>2.1816666666666666</c:v>
                </c:pt>
                <c:pt idx="4">
                  <c:v>2.1906666666666665</c:v>
                </c:pt>
                <c:pt idx="5">
                  <c:v>2.1840000000000002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9B2-47FA-8D17-90C9B17D1A5C}"/>
            </c:ext>
          </c:extLst>
        </c:ser>
        <c:ser>
          <c:idx val="0"/>
          <c:order val="3"/>
          <c:tx>
            <c:v>Cylinder Density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diamond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(Compression!$C$25,Compression!$E$25,Compression!$G$25,Compression!$I$25,Compression!$K$25,Compression!$M$25)</c:f>
              <c:numCache>
                <c:formatCode>0.000</c:formatCode>
                <c:ptCount val="6"/>
                <c:pt idx="0">
                  <c:v>2.5029767383585404</c:v>
                </c:pt>
                <c:pt idx="1">
                  <c:v>2.4166086559073388</c:v>
                </c:pt>
                <c:pt idx="2">
                  <c:v>2.391780484785003</c:v>
                </c:pt>
                <c:pt idx="3">
                  <c:v>2.3349091184534991</c:v>
                </c:pt>
                <c:pt idx="4">
                  <c:v>2.3223889295969364</c:v>
                </c:pt>
                <c:pt idx="5">
                  <c:v>2.2911945607509252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99-4B66-8409-7F73BDE7FC63}"/>
            </c:ext>
          </c:extLst>
        </c:ser>
        <c:ser>
          <c:idx val="1"/>
          <c:order val="4"/>
          <c:tx>
            <c:v>Beams Density</c:v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squar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(Compression!$C$36,Compression!$E$36,Compression!$G$36,Compression!$I$36,Compression!$K$36,Compression!$M$36)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(Compression!$B$33,Compression!$D$33,Compression!$F$33,Compression!$H$33,Compression!$J$33,Compression!$L$33)</c:f>
              <c:numCache>
                <c:formatCode>0.000</c:formatCode>
                <c:ptCount val="6"/>
                <c:pt idx="0">
                  <c:v>2.5845714285714285</c:v>
                </c:pt>
                <c:pt idx="1">
                  <c:v>2.5491428571428569</c:v>
                </c:pt>
                <c:pt idx="2">
                  <c:v>2.4971428571428573</c:v>
                </c:pt>
                <c:pt idx="3">
                  <c:v>2.3251428571428572</c:v>
                </c:pt>
                <c:pt idx="4" formatCode="General">
                  <c:v>2.3319999999999999</c:v>
                </c:pt>
                <c:pt idx="5" formatCode="General">
                  <c:v>2.2799999999999998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199-4B66-8409-7F73BDE7F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5871"/>
        <c:axId val="188498383"/>
      </c:scatterChart>
      <c:valAx>
        <c:axId val="188505871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Aluminum Content (%)</a:t>
                </a:r>
              </a:p>
            </c:rich>
          </c:tx>
          <c:layout>
            <c:manualLayout>
              <c:xMode val="edge"/>
              <c:yMode val="edge"/>
              <c:x val="0.33546826422996723"/>
              <c:y val="0.9272752836723422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8383"/>
        <c:crosses val="autoZero"/>
        <c:crossBetween val="midCat"/>
      </c:valAx>
      <c:valAx>
        <c:axId val="188498383"/>
        <c:scaling>
          <c:orientation val="minMax"/>
          <c:max val="2.7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 (g/cm3)</a:t>
                </a:r>
              </a:p>
            </c:rich>
          </c:tx>
          <c:layout>
            <c:manualLayout>
              <c:xMode val="edge"/>
              <c:yMode val="edge"/>
              <c:x val="2.7892728519414438E-3"/>
              <c:y val="0.379534037315127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5871"/>
        <c:crosses val="autoZero"/>
        <c:crossBetween val="midCat"/>
        <c:majorUnit val="0.1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3473417427489576"/>
          <c:y val="4.0265552732416623E-2"/>
          <c:w val="0.33408400118429254"/>
          <c:h val="0.291059005033411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960501231438257"/>
          <c:y val="6.0118757138295516E-2"/>
          <c:w val="0.82514217930794431"/>
          <c:h val="0.7573207604656987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4"/>
            <c:dispRSqr val="0"/>
            <c:dispEq val="1"/>
            <c:trendlineLbl>
              <c:layout>
                <c:manualLayout>
                  <c:x val="-0.17216227091487726"/>
                  <c:y val="0.40782613427681486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'[1]Compacted Density MDD'!$B$7:$B$17</c:f>
              <c:numCache>
                <c:formatCode>General</c:formatCode>
                <c:ptCount val="11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</c:numCache>
            </c:numRef>
          </c:xVal>
          <c:yVal>
            <c:numRef>
              <c:f>'[1]Compacted Density MDD'!$D$7:$D$17</c:f>
              <c:numCache>
                <c:formatCode>General</c:formatCode>
                <c:ptCount val="11"/>
                <c:pt idx="0">
                  <c:v>1.4947569113441372</c:v>
                </c:pt>
                <c:pt idx="1">
                  <c:v>1.5085795996186844</c:v>
                </c:pt>
                <c:pt idx="2">
                  <c:v>1.5719733079122975</c:v>
                </c:pt>
                <c:pt idx="3">
                  <c:v>1.6630123927550047</c:v>
                </c:pt>
                <c:pt idx="4">
                  <c:v>1.6668255481410867</c:v>
                </c:pt>
                <c:pt idx="5">
                  <c:v>1.7421353670162059</c:v>
                </c:pt>
                <c:pt idx="6">
                  <c:v>1.7878932316491898</c:v>
                </c:pt>
                <c:pt idx="7">
                  <c:v>1.7964728312678742</c:v>
                </c:pt>
                <c:pt idx="8">
                  <c:v>1.7964728312678742</c:v>
                </c:pt>
                <c:pt idx="9">
                  <c:v>1.7917063870352716</c:v>
                </c:pt>
                <c:pt idx="10">
                  <c:v>1.7607244995233555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1D-491D-999D-98B3E5927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97292159"/>
        <c:axId val="1797294239"/>
      </c:scatterChart>
      <c:valAx>
        <c:axId val="179729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Percentage (%)</a:t>
                </a:r>
              </a:p>
            </c:rich>
          </c:tx>
          <c:layout>
            <c:manualLayout>
              <c:xMode val="edge"/>
              <c:yMode val="edge"/>
              <c:x val="0.42239855089887557"/>
              <c:y val="0.900503241765193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94239"/>
        <c:crosses val="autoZero"/>
        <c:crossBetween val="midCat"/>
        <c:majorUnit val="5"/>
      </c:valAx>
      <c:valAx>
        <c:axId val="1797294239"/>
        <c:scaling>
          <c:orientation val="minMax"/>
          <c:min val="1.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Density</a:t>
                </a:r>
              </a:p>
            </c:rich>
          </c:tx>
          <c:layout>
            <c:manualLayout>
              <c:xMode val="edge"/>
              <c:yMode val="edge"/>
              <c:x val="1.6286357770884919E-3"/>
              <c:y val="0.3090865821991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72921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6182370571157172E-2"/>
          <c:y val="2.3065526699084054E-2"/>
          <c:w val="0.88693958259571326"/>
          <c:h val="0.86660938246198227"/>
        </c:manualLayout>
      </c:layout>
      <c:scatterChart>
        <c:scatterStyle val="smoothMarker"/>
        <c:varyColors val="0"/>
        <c:ser>
          <c:idx val="1"/>
          <c:order val="0"/>
          <c:tx>
            <c:strRef>
              <c:f>PSD!$B$28</c:f>
              <c:strCache>
                <c:ptCount val="1"/>
                <c:pt idx="0">
                  <c:v>Upper Limit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PSD!$A$30:$A$38</c:f>
              <c:numCache>
                <c:formatCode>0.000</c:formatCode>
                <c:ptCount val="9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  <c:pt idx="7">
                  <c:v>7.4999999999999997E-2</c:v>
                </c:pt>
              </c:numCache>
            </c:numRef>
          </c:xVal>
          <c:yVal>
            <c:numRef>
              <c:f>PSD!$B$30:$B$38</c:f>
              <c:numCache>
                <c:formatCode>0.00</c:formatCode>
                <c:ptCount val="9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85</c:v>
                </c:pt>
                <c:pt idx="4">
                  <c:v>60</c:v>
                </c:pt>
                <c:pt idx="5">
                  <c:v>30</c:v>
                </c:pt>
                <c:pt idx="6">
                  <c:v>10</c:v>
                </c:pt>
                <c:pt idx="7">
                  <c:v>2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070-4E1B-AA1A-22B2596F7CEA}"/>
            </c:ext>
          </c:extLst>
        </c:ser>
        <c:ser>
          <c:idx val="0"/>
          <c:order val="1"/>
          <c:tx>
            <c:strRef>
              <c:f>PSD!$C$28</c:f>
              <c:strCache>
                <c:ptCount val="1"/>
                <c:pt idx="0">
                  <c:v>Lower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dashDot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PSD!$A$30:$A$38</c:f>
              <c:numCache>
                <c:formatCode>0.000</c:formatCode>
                <c:ptCount val="9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  <c:pt idx="7">
                  <c:v>7.4999999999999997E-2</c:v>
                </c:pt>
              </c:numCache>
            </c:numRef>
          </c:xVal>
          <c:yVal>
            <c:numRef>
              <c:f>PSD!$C$30:$C$38</c:f>
              <c:numCache>
                <c:formatCode>0.00</c:formatCode>
                <c:ptCount val="9"/>
                <c:pt idx="0">
                  <c:v>100</c:v>
                </c:pt>
                <c:pt idx="1">
                  <c:v>95</c:v>
                </c:pt>
                <c:pt idx="2">
                  <c:v>80</c:v>
                </c:pt>
                <c:pt idx="3">
                  <c:v>50</c:v>
                </c:pt>
                <c:pt idx="4">
                  <c:v>25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070-4E1B-AA1A-22B2596F7CEA}"/>
            </c:ext>
          </c:extLst>
        </c:ser>
        <c:ser>
          <c:idx val="2"/>
          <c:order val="2"/>
          <c:tx>
            <c:v>Test Results</c:v>
          </c:tx>
          <c:spPr>
            <a:ln w="19050" cap="rnd">
              <a:solidFill>
                <a:srgbClr val="FF0000"/>
              </a:solidFill>
              <a:prstDash val="lg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PSD!$A$30:$A$38</c:f>
              <c:numCache>
                <c:formatCode>0.000</c:formatCode>
                <c:ptCount val="9"/>
                <c:pt idx="0">
                  <c:v>9.5</c:v>
                </c:pt>
                <c:pt idx="1">
                  <c:v>4.75</c:v>
                </c:pt>
                <c:pt idx="2">
                  <c:v>2.36</c:v>
                </c:pt>
                <c:pt idx="3">
                  <c:v>1.18</c:v>
                </c:pt>
                <c:pt idx="4">
                  <c:v>0.6</c:v>
                </c:pt>
                <c:pt idx="5">
                  <c:v>0.3</c:v>
                </c:pt>
                <c:pt idx="6">
                  <c:v>0.15</c:v>
                </c:pt>
                <c:pt idx="7">
                  <c:v>7.4999999999999997E-2</c:v>
                </c:pt>
              </c:numCache>
            </c:numRef>
          </c:xVal>
          <c:yVal>
            <c:numRef>
              <c:f>PSD!$D$30:$D$38</c:f>
              <c:numCache>
                <c:formatCode>0.00</c:formatCode>
                <c:ptCount val="9"/>
                <c:pt idx="0">
                  <c:v>100</c:v>
                </c:pt>
                <c:pt idx="1">
                  <c:v>98.748748748748753</c:v>
                </c:pt>
                <c:pt idx="2">
                  <c:v>94.194194194194196</c:v>
                </c:pt>
                <c:pt idx="3">
                  <c:v>74.349349349349353</c:v>
                </c:pt>
                <c:pt idx="4">
                  <c:v>45.72072072072072</c:v>
                </c:pt>
                <c:pt idx="5">
                  <c:v>12.187187187187192</c:v>
                </c:pt>
                <c:pt idx="6">
                  <c:v>4.2042042042042098</c:v>
                </c:pt>
                <c:pt idx="7">
                  <c:v>0.25025025025025371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070-4E1B-AA1A-22B2596F7C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4812095"/>
        <c:axId val="1004806335"/>
      </c:scatterChart>
      <c:valAx>
        <c:axId val="1004812095"/>
        <c:scaling>
          <c:logBase val="10"/>
          <c:orientation val="minMax"/>
          <c:max val="5"/>
          <c:min val="5.000000000000001E-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Sieve Size, mm</a:t>
                </a:r>
                <a:endParaRPr lang="en-KE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0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04806335"/>
        <c:crosses val="autoZero"/>
        <c:crossBetween val="midCat"/>
      </c:valAx>
      <c:valAx>
        <c:axId val="1004806335"/>
        <c:scaling>
          <c:orientation val="minMax"/>
          <c:max val="100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noFill/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/>
                  <a:t>Cummulative Percent Passing</a:t>
                </a:r>
                <a:endParaRPr lang="en-KE"/>
              </a:p>
            </c:rich>
          </c:tx>
          <c:layout>
            <c:manualLayout>
              <c:xMode val="edge"/>
              <c:yMode val="edge"/>
              <c:x val="8.1322613049237807E-3"/>
              <c:y val="0.310296894162557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004812095"/>
        <c:crosses val="max"/>
        <c:crossBetween val="midCat"/>
        <c:majorUnit val="2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3132464471252833"/>
          <c:y val="0.10614608305852398"/>
          <c:w val="0.34321029433198585"/>
          <c:h val="0.2037076659996854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895946213630692E-2"/>
          <c:y val="2.3898145630460919E-2"/>
          <c:w val="0.89022666779859072"/>
          <c:h val="0.8769991580961631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PSD!$G$28</c:f>
              <c:strCache>
                <c:ptCount val="1"/>
                <c:pt idx="0">
                  <c:v>Upper Limit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PSD!$F$31:$F$34</c:f>
              <c:numCache>
                <c:formatCode>General</c:formatCode>
                <c:ptCount val="4"/>
                <c:pt idx="0">
                  <c:v>12.5</c:v>
                </c:pt>
                <c:pt idx="1">
                  <c:v>9.5</c:v>
                </c:pt>
                <c:pt idx="2">
                  <c:v>5</c:v>
                </c:pt>
                <c:pt idx="3">
                  <c:v>2.36</c:v>
                </c:pt>
              </c:numCache>
            </c:numRef>
          </c:xVal>
          <c:yVal>
            <c:numRef>
              <c:f>PSD!$G$31:$G$34</c:f>
              <c:numCache>
                <c:formatCode>General</c:formatCode>
                <c:ptCount val="4"/>
                <c:pt idx="0">
                  <c:v>100</c:v>
                </c:pt>
                <c:pt idx="1">
                  <c:v>70</c:v>
                </c:pt>
                <c:pt idx="2">
                  <c:v>15</c:v>
                </c:pt>
                <c:pt idx="3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6BE-405C-988F-D7C6393AD0FB}"/>
            </c:ext>
          </c:extLst>
        </c:ser>
        <c:ser>
          <c:idx val="1"/>
          <c:order val="1"/>
          <c:tx>
            <c:strRef>
              <c:f>PSD!$H$28</c:f>
              <c:strCache>
                <c:ptCount val="1"/>
                <c:pt idx="0">
                  <c:v>Lower Limit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diamond"/>
            <c:size val="5"/>
            <c:spPr>
              <a:solidFill>
                <a:srgbClr val="0070C0"/>
              </a:solidFill>
              <a:ln w="9525">
                <a:solidFill>
                  <a:srgbClr val="0070C0"/>
                </a:solidFill>
              </a:ln>
              <a:effectLst/>
            </c:spPr>
          </c:marker>
          <c:xVal>
            <c:numRef>
              <c:f>PSD!$F$30:$F$33</c:f>
              <c:numCache>
                <c:formatCode>General</c:formatCode>
                <c:ptCount val="4"/>
                <c:pt idx="0">
                  <c:v>14</c:v>
                </c:pt>
                <c:pt idx="1">
                  <c:v>12.5</c:v>
                </c:pt>
                <c:pt idx="2">
                  <c:v>9.5</c:v>
                </c:pt>
                <c:pt idx="3">
                  <c:v>5</c:v>
                </c:pt>
              </c:numCache>
            </c:numRef>
          </c:xVal>
          <c:yVal>
            <c:numRef>
              <c:f>PSD!$H$30:$H$33</c:f>
              <c:numCache>
                <c:formatCode>General</c:formatCode>
                <c:ptCount val="4"/>
                <c:pt idx="0">
                  <c:v>100</c:v>
                </c:pt>
                <c:pt idx="1">
                  <c:v>90</c:v>
                </c:pt>
                <c:pt idx="2">
                  <c:v>40</c:v>
                </c:pt>
                <c:pt idx="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6BE-405C-988F-D7C6393AD0FB}"/>
            </c:ext>
          </c:extLst>
        </c:ser>
        <c:ser>
          <c:idx val="2"/>
          <c:order val="2"/>
          <c:tx>
            <c:v>Test Results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triang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PSD!$F$29:$F$33</c:f>
              <c:numCache>
                <c:formatCode>General</c:formatCode>
                <c:ptCount val="5"/>
                <c:pt idx="0">
                  <c:v>16</c:v>
                </c:pt>
                <c:pt idx="1">
                  <c:v>14</c:v>
                </c:pt>
                <c:pt idx="2">
                  <c:v>12.5</c:v>
                </c:pt>
                <c:pt idx="3">
                  <c:v>9.5</c:v>
                </c:pt>
                <c:pt idx="4">
                  <c:v>5</c:v>
                </c:pt>
              </c:numCache>
            </c:numRef>
          </c:xVal>
          <c:yVal>
            <c:numRef>
              <c:f>PSD!$I$29:$I$33</c:f>
              <c:numCache>
                <c:formatCode>0.00</c:formatCode>
                <c:ptCount val="5"/>
                <c:pt idx="0">
                  <c:v>100</c:v>
                </c:pt>
                <c:pt idx="1">
                  <c:v>99.288888888888891</c:v>
                </c:pt>
                <c:pt idx="2">
                  <c:v>93.822222222222237</c:v>
                </c:pt>
                <c:pt idx="3">
                  <c:v>69.400000000000006</c:v>
                </c:pt>
                <c:pt idx="4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6BE-405C-988F-D7C6393AD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7695136"/>
        <c:axId val="687686016"/>
      </c:scatterChart>
      <c:valAx>
        <c:axId val="687695136"/>
        <c:scaling>
          <c:orientation val="minMax"/>
          <c:max val="16"/>
          <c:min val="2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Sieve Size, mm</a:t>
                </a:r>
                <a:endParaRPr lang="en-KE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87686016"/>
        <c:crosses val="autoZero"/>
        <c:crossBetween val="midCat"/>
      </c:valAx>
      <c:valAx>
        <c:axId val="687686016"/>
        <c:scaling>
          <c:orientation val="minMax"/>
          <c:max val="1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25000"/>
                  <a:lumOff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fr-F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Cummulative Percent Passing</a:t>
                </a:r>
                <a:endParaRPr lang="en-KE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Times New Roman" panose="02020603050405020304" pitchFamily="18" charset="0"/>
                  <a:cs typeface="Times New Roman" panose="02020603050405020304" pitchFamily="18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#,##0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687695136"/>
        <c:crosses val="autoZero"/>
        <c:crossBetween val="midCat"/>
        <c:majorUnit val="20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9.8142187975969922E-2"/>
          <c:y val="6.5857527769013005E-2"/>
          <c:w val="0.20509911448807422"/>
          <c:h val="0.1989690974679948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86544881376868"/>
          <c:y val="5.261221333970053E-2"/>
          <c:w val="0.83218306902529571"/>
          <c:h val="0.80675387162996559"/>
        </c:manualLayout>
      </c:layout>
      <c:scatterChart>
        <c:scatterStyle val="smoothMarker"/>
        <c:varyColors val="0"/>
        <c:ser>
          <c:idx val="0"/>
          <c:order val="0"/>
          <c:tx>
            <c:v>Porosity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5"/>
            <c:dispRSqr val="1"/>
            <c:dispEq val="1"/>
            <c:trendlineLbl>
              <c:layout>
                <c:manualLayout>
                  <c:x val="0.14204555305631156"/>
                  <c:y val="0.3688357154271318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(Absorpsion!$C$1,Absorpsion!$G$1,Absorpsion!$K$1,Absorpsion!$O$1,Absorpsion!$S$1,Absorpsion!$W$1)</c:f>
              <c:numCache>
                <c:formatCode>0.00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xVal>
          <c:yVal>
            <c:numRef>
              <c:f>(Absorpsion!$F$8,Absorpsion!$J$8,Absorpsion!$N$8,Absorpsion!$R$8,Absorpsion!$V$8,Absorpsion!$Z$8)</c:f>
              <c:numCache>
                <c:formatCode>General</c:formatCode>
                <c:ptCount val="6"/>
                <c:pt idx="0" formatCode="0.00%">
                  <c:v>3.2371580928845345E-2</c:v>
                </c:pt>
                <c:pt idx="1">
                  <c:v>4.8718913606284331E-2</c:v>
                </c:pt>
                <c:pt idx="2">
                  <c:v>5.2069149108015432E-2</c:v>
                </c:pt>
                <c:pt idx="3">
                  <c:v>5.8312626895397596E-2</c:v>
                </c:pt>
                <c:pt idx="4">
                  <c:v>5.46616959994645E-2</c:v>
                </c:pt>
                <c:pt idx="5">
                  <c:v>6.1766316062551743E-2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A7E-4C08-B338-39C6E5BCE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8505871"/>
        <c:axId val="188498383"/>
      </c:scatterChart>
      <c:valAx>
        <c:axId val="188505871"/>
        <c:scaling>
          <c:orientation val="minMax"/>
          <c:max val="5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Aluminum Content (%)</a:t>
                </a:r>
              </a:p>
            </c:rich>
          </c:tx>
          <c:layout>
            <c:manualLayout>
              <c:xMode val="edge"/>
              <c:yMode val="edge"/>
              <c:x val="0.34060689306191444"/>
              <c:y val="0.927275384074806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498383"/>
        <c:crosses val="autoZero"/>
        <c:crossBetween val="midCat"/>
      </c:valAx>
      <c:valAx>
        <c:axId val="188498383"/>
        <c:scaling>
          <c:orientation val="minMax"/>
          <c:max val="7.0000000000000007E-2"/>
          <c:min val="3.0000000000000006E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Porosity</a:t>
                </a:r>
              </a:p>
            </c:rich>
          </c:tx>
          <c:layout>
            <c:manualLayout>
              <c:xMode val="edge"/>
              <c:yMode val="edge"/>
              <c:x val="2.7892728519414438E-3"/>
              <c:y val="0.379534037315127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505871"/>
        <c:crosses val="autoZero"/>
        <c:crossBetween val="midCat"/>
        <c:majorUnit val="1.0000000000000002E-2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60284</xdr:colOff>
      <xdr:row>57</xdr:row>
      <xdr:rowOff>82518</xdr:rowOff>
    </xdr:from>
    <xdr:to>
      <xdr:col>24</xdr:col>
      <xdr:colOff>11206</xdr:colOff>
      <xdr:row>73</xdr:row>
      <xdr:rowOff>100854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B84EA89-300E-40C0-8D87-D1826E1E4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74554</xdr:colOff>
      <xdr:row>40</xdr:row>
      <xdr:rowOff>118170</xdr:rowOff>
    </xdr:from>
    <xdr:to>
      <xdr:col>24</xdr:col>
      <xdr:colOff>3056</xdr:colOff>
      <xdr:row>57</xdr:row>
      <xdr:rowOff>18337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D87BE9-4A3B-4453-A376-00A0F9417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55535</xdr:colOff>
      <xdr:row>54</xdr:row>
      <xdr:rowOff>173415</xdr:rowOff>
    </xdr:from>
    <xdr:to>
      <xdr:col>7</xdr:col>
      <xdr:colOff>526243</xdr:colOff>
      <xdr:row>68</xdr:row>
      <xdr:rowOff>71536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13EF15-7EDE-4A86-B83F-EB7686C12E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395300</xdr:colOff>
      <xdr:row>4</xdr:row>
      <xdr:rowOff>238217</xdr:rowOff>
    </xdr:from>
    <xdr:to>
      <xdr:col>22</xdr:col>
      <xdr:colOff>302906</xdr:colOff>
      <xdr:row>15</xdr:row>
      <xdr:rowOff>166681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4B71647-2EA3-4B13-88E8-A47DD2CA4D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36791</xdr:colOff>
      <xdr:row>40</xdr:row>
      <xdr:rowOff>168935</xdr:rowOff>
    </xdr:from>
    <xdr:to>
      <xdr:col>7</xdr:col>
      <xdr:colOff>536023</xdr:colOff>
      <xdr:row>54</xdr:row>
      <xdr:rowOff>50755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979060-B166-49A3-BD83-D6FBD18D1B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638508</xdr:colOff>
      <xdr:row>57</xdr:row>
      <xdr:rowOff>89241</xdr:rowOff>
    </xdr:from>
    <xdr:to>
      <xdr:col>15</xdr:col>
      <xdr:colOff>593912</xdr:colOff>
      <xdr:row>73</xdr:row>
      <xdr:rowOff>189074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E77FD9B4-0F66-4A48-8FBD-CAE97DC97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200061</xdr:colOff>
      <xdr:row>40</xdr:row>
      <xdr:rowOff>120411</xdr:rowOff>
    </xdr:from>
    <xdr:to>
      <xdr:col>32</xdr:col>
      <xdr:colOff>128562</xdr:colOff>
      <xdr:row>57</xdr:row>
      <xdr:rowOff>20578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2F5519C-3DF6-4A2B-A4DF-B87609222E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384414</xdr:colOff>
      <xdr:row>16</xdr:row>
      <xdr:rowOff>23223</xdr:rowOff>
    </xdr:from>
    <xdr:to>
      <xdr:col>20</xdr:col>
      <xdr:colOff>526675</xdr:colOff>
      <xdr:row>27</xdr:row>
      <xdr:rowOff>155795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EFF5216-EB75-470C-8CFF-66B5017710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0</xdr:colOff>
      <xdr:row>85</xdr:row>
      <xdr:rowOff>40821</xdr:rowOff>
    </xdr:from>
    <xdr:to>
      <xdr:col>8</xdr:col>
      <xdr:colOff>615043</xdr:colOff>
      <xdr:row>116</xdr:row>
      <xdr:rowOff>187185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103F5A-3EB9-44A0-9D7B-CF5404098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308535"/>
          <a:ext cx="7772400" cy="6473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271097</xdr:colOff>
      <xdr:row>18</xdr:row>
      <xdr:rowOff>29308</xdr:rowOff>
    </xdr:from>
    <xdr:to>
      <xdr:col>6</xdr:col>
      <xdr:colOff>7327</xdr:colOff>
      <xdr:row>29</xdr:row>
      <xdr:rowOff>176946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1C98DE7-56D4-49E8-BE53-E4EE90587EE0}"/>
            </a:ext>
          </a:extLst>
        </xdr:cNvPr>
        <xdr:cNvGrpSpPr/>
      </xdr:nvGrpSpPr>
      <xdr:grpSpPr>
        <a:xfrm>
          <a:off x="271097" y="3629758"/>
          <a:ext cx="3851030" cy="2347913"/>
          <a:chOff x="271097" y="3675084"/>
          <a:chExt cx="4373920" cy="2315396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9E2E00CB-6BC1-49C4-ABEE-1B39D0894541}"/>
              </a:ext>
            </a:extLst>
          </xdr:cNvPr>
          <xdr:cNvGraphicFramePr/>
        </xdr:nvGraphicFramePr>
        <xdr:xfrm>
          <a:off x="271097" y="3675084"/>
          <a:ext cx="4373920" cy="231539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cxnSp macro="">
        <xdr:nvCxnSpPr>
          <xdr:cNvPr id="4" name="Straight Arrow Connector 3">
            <a:extLst>
              <a:ext uri="{FF2B5EF4-FFF2-40B4-BE49-F238E27FC236}">
                <a16:creationId xmlns:a16="http://schemas.microsoft.com/office/drawing/2014/main" id="{1DC2B3AF-617C-4FBB-90BC-7284FD2885DB}"/>
              </a:ext>
            </a:extLst>
          </xdr:cNvPr>
          <xdr:cNvCxnSpPr/>
        </xdr:nvCxnSpPr>
        <xdr:spPr>
          <a:xfrm>
            <a:off x="3298126" y="4098530"/>
            <a:ext cx="0" cy="1655515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5" name="Straight Arrow Connector 4">
            <a:extLst>
              <a:ext uri="{FF2B5EF4-FFF2-40B4-BE49-F238E27FC236}">
                <a16:creationId xmlns:a16="http://schemas.microsoft.com/office/drawing/2014/main" id="{7936C179-FC55-413C-B7FA-E5C653B9A321}"/>
              </a:ext>
            </a:extLst>
          </xdr:cNvPr>
          <xdr:cNvCxnSpPr/>
        </xdr:nvCxnSpPr>
        <xdr:spPr>
          <a:xfrm flipH="1">
            <a:off x="827942" y="4105857"/>
            <a:ext cx="2470183" cy="0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3</xdr:col>
      <xdr:colOff>453259</xdr:colOff>
      <xdr:row>28</xdr:row>
      <xdr:rowOff>170222</xdr:rowOff>
    </xdr:from>
    <xdr:to>
      <xdr:col>4</xdr:col>
      <xdr:colOff>91965</xdr:colOff>
      <xdr:row>29</xdr:row>
      <xdr:rowOff>164225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CA5429-376D-4A15-8176-D7DC30C99161}"/>
            </a:ext>
          </a:extLst>
        </xdr:cNvPr>
        <xdr:cNvSpPr txBox="1"/>
      </xdr:nvSpPr>
      <xdr:spPr>
        <a:xfrm>
          <a:off x="3044059" y="5866172"/>
          <a:ext cx="457856" cy="1940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37.5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694764</xdr:colOff>
      <xdr:row>39</xdr:row>
      <xdr:rowOff>26415</xdr:rowOff>
    </xdr:from>
    <xdr:to>
      <xdr:col>9</xdr:col>
      <xdr:colOff>609599</xdr:colOff>
      <xdr:row>58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7A725-8331-4E2E-9890-9E0AEFD311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858612</xdr:colOff>
      <xdr:row>26</xdr:row>
      <xdr:rowOff>236764</xdr:rowOff>
    </xdr:from>
    <xdr:to>
      <xdr:col>14</xdr:col>
      <xdr:colOff>171450</xdr:colOff>
      <xdr:row>36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899252-8166-2ED6-193E-FF1C50BFB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27215</xdr:colOff>
      <xdr:row>10</xdr:row>
      <xdr:rowOff>131989</xdr:rowOff>
    </xdr:from>
    <xdr:to>
      <xdr:col>13</xdr:col>
      <xdr:colOff>550547</xdr:colOff>
      <xdr:row>25</xdr:row>
      <xdr:rowOff>99113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E58CFE-9E72-43AB-9C9A-7867F4CA0E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ZERWAL/THESE/CourseWorks/PUC%204123%20-%20Advanced%20Structural%20Concrete%20Design/LABWORK/Lab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EVE ANALYSIS"/>
      <sheetName val="AIV - ACV"/>
      <sheetName val="SPECIFIC GRAVITY"/>
      <sheetName val="Bulk Density"/>
      <sheetName val="CEMENT"/>
      <sheetName val="Compacted Density MDD"/>
      <sheetName val="MIX DESIGN"/>
      <sheetName val="CRASHING"/>
      <sheetName val="FRESH Concrete"/>
    </sheetNames>
    <sheetDataSet>
      <sheetData sheetId="0"/>
      <sheetData sheetId="1"/>
      <sheetData sheetId="2"/>
      <sheetData sheetId="3"/>
      <sheetData sheetId="4"/>
      <sheetData sheetId="5">
        <row r="7">
          <cell r="B7">
            <v>0</v>
          </cell>
          <cell r="D7">
            <v>1.4947569113441372</v>
          </cell>
        </row>
        <row r="8">
          <cell r="B8">
            <v>5</v>
          </cell>
          <cell r="D8">
            <v>1.5085795996186844</v>
          </cell>
        </row>
        <row r="9">
          <cell r="B9">
            <v>10</v>
          </cell>
          <cell r="D9">
            <v>1.5719733079122975</v>
          </cell>
        </row>
        <row r="10">
          <cell r="B10">
            <v>15</v>
          </cell>
          <cell r="D10">
            <v>1.6630123927550047</v>
          </cell>
        </row>
        <row r="11">
          <cell r="B11">
            <v>20</v>
          </cell>
          <cell r="D11">
            <v>1.6668255481410867</v>
          </cell>
        </row>
        <row r="12">
          <cell r="B12">
            <v>25</v>
          </cell>
          <cell r="D12">
            <v>1.7421353670162059</v>
          </cell>
        </row>
        <row r="13">
          <cell r="B13">
            <v>30</v>
          </cell>
          <cell r="D13">
            <v>1.7878932316491898</v>
          </cell>
        </row>
        <row r="14">
          <cell r="B14">
            <v>35</v>
          </cell>
          <cell r="D14">
            <v>1.7964728312678742</v>
          </cell>
        </row>
        <row r="15">
          <cell r="B15">
            <v>40</v>
          </cell>
          <cell r="D15">
            <v>1.7964728312678742</v>
          </cell>
        </row>
        <row r="16">
          <cell r="B16">
            <v>45</v>
          </cell>
          <cell r="D16">
            <v>1.7917063870352716</v>
          </cell>
        </row>
        <row r="17">
          <cell r="B17">
            <v>50</v>
          </cell>
          <cell r="D17">
            <v>1.7607244995233555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9216E-4A67-47C5-915E-0A238F808878}">
  <dimension ref="A1:G13"/>
  <sheetViews>
    <sheetView workbookViewId="0">
      <selection activeCell="G16" sqref="G16"/>
    </sheetView>
  </sheetViews>
  <sheetFormatPr defaultRowHeight="15.75" x14ac:dyDescent="0.25"/>
  <cols>
    <col min="1" max="1" width="18.75" bestFit="1" customWidth="1"/>
  </cols>
  <sheetData>
    <row r="1" spans="1:7" x14ac:dyDescent="0.25">
      <c r="A1" s="2" t="s">
        <v>6</v>
      </c>
      <c r="B1" s="3" t="s">
        <v>13</v>
      </c>
      <c r="C1" s="3" t="s">
        <v>12</v>
      </c>
      <c r="D1" s="3" t="s">
        <v>11</v>
      </c>
      <c r="E1" s="3" t="s">
        <v>10</v>
      </c>
    </row>
    <row r="2" spans="1:7" x14ac:dyDescent="0.25">
      <c r="A2" s="2" t="s">
        <v>7</v>
      </c>
      <c r="B2" s="4">
        <v>100</v>
      </c>
      <c r="C2" s="4">
        <v>100</v>
      </c>
      <c r="D2" s="4">
        <v>100</v>
      </c>
      <c r="E2" s="4">
        <v>15</v>
      </c>
    </row>
    <row r="3" spans="1:7" x14ac:dyDescent="0.25">
      <c r="A3" s="2" t="s">
        <v>8</v>
      </c>
      <c r="B3" s="4">
        <v>10</v>
      </c>
      <c r="C3" s="4"/>
      <c r="D3" s="4">
        <v>20</v>
      </c>
      <c r="E3" s="4">
        <v>3</v>
      </c>
    </row>
    <row r="4" spans="1:7" x14ac:dyDescent="0.25">
      <c r="A4" s="2" t="s">
        <v>9</v>
      </c>
      <c r="B4" s="4">
        <v>100</v>
      </c>
      <c r="C4" s="4">
        <v>100</v>
      </c>
      <c r="D4" s="4">
        <v>350</v>
      </c>
      <c r="E4" s="4">
        <v>1</v>
      </c>
    </row>
    <row r="7" spans="1:7" x14ac:dyDescent="0.25">
      <c r="A7" s="2"/>
      <c r="B7" s="5">
        <v>0</v>
      </c>
      <c r="C7" s="5">
        <v>0.01</v>
      </c>
      <c r="D7" s="5">
        <v>0.02</v>
      </c>
      <c r="E7" s="5">
        <v>0.03</v>
      </c>
      <c r="F7" s="5">
        <v>0.04</v>
      </c>
      <c r="G7" s="5">
        <v>0.05</v>
      </c>
    </row>
    <row r="8" spans="1:7" x14ac:dyDescent="0.25">
      <c r="A8" s="2" t="s">
        <v>0</v>
      </c>
      <c r="B8" s="4">
        <v>19.936</v>
      </c>
      <c r="C8" s="4">
        <v>19.936</v>
      </c>
      <c r="D8" s="4">
        <v>19.936</v>
      </c>
      <c r="E8" s="4">
        <v>19.936</v>
      </c>
      <c r="F8" s="4">
        <v>19.936</v>
      </c>
      <c r="G8" s="4">
        <v>19.936</v>
      </c>
    </row>
    <row r="9" spans="1:7" x14ac:dyDescent="0.25">
      <c r="A9" s="2" t="s">
        <v>1</v>
      </c>
      <c r="B9" s="4">
        <v>33.225999999999999</v>
      </c>
      <c r="C9" s="4">
        <v>33.225999999999999</v>
      </c>
      <c r="D9" s="4">
        <v>33.225999999999999</v>
      </c>
      <c r="E9" s="4">
        <v>33.225999999999999</v>
      </c>
      <c r="F9" s="4">
        <v>33.225999999999999</v>
      </c>
      <c r="G9" s="4">
        <v>33.225999999999999</v>
      </c>
    </row>
    <row r="10" spans="1:7" x14ac:dyDescent="0.25">
      <c r="A10" s="2" t="s">
        <v>2</v>
      </c>
      <c r="B10" s="4">
        <v>0.155</v>
      </c>
      <c r="C10" s="4">
        <v>0.155</v>
      </c>
      <c r="D10" s="4">
        <v>0.155</v>
      </c>
      <c r="E10" s="4">
        <v>0.155</v>
      </c>
      <c r="F10" s="4">
        <v>0.155</v>
      </c>
      <c r="G10" s="4">
        <v>0.155</v>
      </c>
    </row>
    <row r="11" spans="1:7" x14ac:dyDescent="0.25">
      <c r="A11" s="2" t="s">
        <v>3</v>
      </c>
      <c r="B11" s="4">
        <v>5.4189999999999996</v>
      </c>
      <c r="C11" s="4">
        <v>5.4189999999999996</v>
      </c>
      <c r="D11" s="4">
        <v>5.4189999999999996</v>
      </c>
      <c r="E11" s="4">
        <v>5.4189999999999996</v>
      </c>
      <c r="F11" s="4">
        <v>5.4189999999999996</v>
      </c>
      <c r="G11" s="4">
        <v>5.4189999999999996</v>
      </c>
    </row>
    <row r="12" spans="1:7" x14ac:dyDescent="0.25">
      <c r="A12" s="2" t="s">
        <v>4</v>
      </c>
      <c r="B12" s="4">
        <v>5.4189999999999996</v>
      </c>
      <c r="C12" s="4">
        <v>5.4189999999999996</v>
      </c>
      <c r="D12" s="4">
        <v>5.4189999999999996</v>
      </c>
      <c r="E12" s="4">
        <v>5.4189999999999996</v>
      </c>
      <c r="F12" s="4">
        <v>5.4189999999999996</v>
      </c>
      <c r="G12" s="4">
        <v>5.4189999999999996</v>
      </c>
    </row>
    <row r="13" spans="1:7" x14ac:dyDescent="0.25">
      <c r="A13" s="2" t="s">
        <v>5</v>
      </c>
      <c r="B13" s="4">
        <v>0</v>
      </c>
      <c r="C13" s="4">
        <v>0.155</v>
      </c>
      <c r="D13" s="4">
        <f>C13*2</f>
        <v>0.31</v>
      </c>
      <c r="E13" s="4">
        <f>C13*3</f>
        <v>0.46499999999999997</v>
      </c>
      <c r="F13" s="4">
        <f>C13*4</f>
        <v>0.62</v>
      </c>
      <c r="G13" s="4">
        <f>C13*5</f>
        <v>0.77500000000000002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6BD8B-6B0A-40B8-B6DB-F1D99D66D584}">
  <dimension ref="A1:M37"/>
  <sheetViews>
    <sheetView zoomScale="70" zoomScaleNormal="70" workbookViewId="0">
      <selection activeCell="C29" sqref="C29"/>
    </sheetView>
  </sheetViews>
  <sheetFormatPr defaultRowHeight="15.75" x14ac:dyDescent="0.25"/>
  <cols>
    <col min="1" max="1" width="19" style="1" customWidth="1"/>
    <col min="2" max="13" width="10.625" style="1" customWidth="1"/>
    <col min="14" max="16384" width="9" style="1"/>
  </cols>
  <sheetData>
    <row r="1" spans="1:13" ht="21" customHeight="1" x14ac:dyDescent="0.25">
      <c r="A1" s="6"/>
      <c r="B1" s="118" t="s">
        <v>24</v>
      </c>
      <c r="C1" s="119"/>
      <c r="D1" s="120" t="s">
        <v>25</v>
      </c>
      <c r="E1" s="120"/>
      <c r="F1" s="118" t="s">
        <v>26</v>
      </c>
      <c r="G1" s="118"/>
      <c r="H1" s="120" t="s">
        <v>29</v>
      </c>
      <c r="I1" s="120"/>
      <c r="J1" s="118" t="s">
        <v>27</v>
      </c>
      <c r="K1" s="118"/>
      <c r="L1" s="116" t="s">
        <v>28</v>
      </c>
      <c r="M1" s="116"/>
    </row>
    <row r="2" spans="1:13" ht="21" customHeight="1" x14ac:dyDescent="0.25">
      <c r="A2" s="6" t="s">
        <v>18</v>
      </c>
      <c r="B2" s="7"/>
      <c r="C2" s="7"/>
      <c r="D2" s="8">
        <v>150</v>
      </c>
      <c r="E2" s="8"/>
      <c r="F2" s="7">
        <v>152</v>
      </c>
      <c r="G2" s="7"/>
      <c r="H2" s="8">
        <v>153</v>
      </c>
      <c r="I2" s="8"/>
      <c r="J2" s="7">
        <v>151</v>
      </c>
      <c r="K2" s="7"/>
      <c r="L2" s="6">
        <v>151</v>
      </c>
      <c r="M2" s="6"/>
    </row>
    <row r="3" spans="1:13" ht="21" customHeight="1" x14ac:dyDescent="0.25">
      <c r="A3" s="6"/>
      <c r="B3" s="7"/>
      <c r="C3" s="7"/>
      <c r="D3" s="8"/>
      <c r="E3" s="8"/>
      <c r="F3" s="7"/>
      <c r="G3" s="7"/>
      <c r="H3" s="8"/>
      <c r="I3" s="8"/>
      <c r="J3" s="7"/>
      <c r="K3" s="7"/>
      <c r="L3" s="6"/>
      <c r="M3" s="6"/>
    </row>
    <row r="4" spans="1:13" ht="21" customHeight="1" x14ac:dyDescent="0.25">
      <c r="A4" s="117" t="s">
        <v>14</v>
      </c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7"/>
      <c r="M4" s="117"/>
    </row>
    <row r="5" spans="1:13" ht="21" customHeight="1" x14ac:dyDescent="0.25">
      <c r="A5" s="6">
        <v>7</v>
      </c>
      <c r="B5" s="7">
        <v>2376</v>
      </c>
      <c r="C5" s="9">
        <f>AVERAGE(B5:B7)/1000</f>
        <v>2.3650000000000002</v>
      </c>
      <c r="D5" s="8">
        <v>2332</v>
      </c>
      <c r="E5" s="10">
        <f>AVERAGE(D5:D7)/1000</f>
        <v>2.3283333333333336</v>
      </c>
      <c r="F5" s="7">
        <v>2297</v>
      </c>
      <c r="G5" s="9">
        <f>AVERAGE(F5:F7)/1000</f>
        <v>2.2959999999999998</v>
      </c>
      <c r="H5" s="8">
        <v>2264</v>
      </c>
      <c r="I5" s="10">
        <f>AVERAGE(H5:H7)/1000</f>
        <v>2.2606666666666664</v>
      </c>
      <c r="J5" s="7">
        <v>2135</v>
      </c>
      <c r="K5" s="9">
        <f>AVERAGE(J5:J7)/1000</f>
        <v>2.1416666666666666</v>
      </c>
      <c r="L5" s="6">
        <v>2228</v>
      </c>
      <c r="M5" s="11">
        <f>AVERAGE(L5:L7)/1000</f>
        <v>2.2176666666666667</v>
      </c>
    </row>
    <row r="6" spans="1:13" ht="21" customHeight="1" x14ac:dyDescent="0.25">
      <c r="A6" s="107"/>
      <c r="B6" s="7">
        <v>2353</v>
      </c>
      <c r="C6" s="111"/>
      <c r="D6" s="8">
        <v>2330</v>
      </c>
      <c r="E6" s="109"/>
      <c r="F6" s="7">
        <v>2301</v>
      </c>
      <c r="G6" s="111"/>
      <c r="H6" s="8">
        <v>2278</v>
      </c>
      <c r="I6" s="109"/>
      <c r="J6" s="7">
        <v>2150</v>
      </c>
      <c r="K6" s="111"/>
      <c r="L6" s="6">
        <v>2215</v>
      </c>
      <c r="M6" s="113"/>
    </row>
    <row r="7" spans="1:13" ht="21" customHeight="1" x14ac:dyDescent="0.25">
      <c r="A7" s="108"/>
      <c r="B7" s="7">
        <v>2366</v>
      </c>
      <c r="C7" s="112"/>
      <c r="D7" s="8">
        <v>2323</v>
      </c>
      <c r="E7" s="110"/>
      <c r="F7" s="7">
        <v>2290</v>
      </c>
      <c r="G7" s="112"/>
      <c r="H7" s="8">
        <v>2240</v>
      </c>
      <c r="I7" s="110"/>
      <c r="J7" s="7">
        <v>2140</v>
      </c>
      <c r="K7" s="112"/>
      <c r="L7" s="103">
        <v>2210</v>
      </c>
      <c r="M7" s="114"/>
    </row>
    <row r="8" spans="1:13" ht="21" customHeight="1" x14ac:dyDescent="0.25">
      <c r="A8" s="6">
        <v>14</v>
      </c>
      <c r="B8" s="7">
        <v>2465</v>
      </c>
      <c r="C8" s="9">
        <f>AVERAGE(B8:B10)/1000</f>
        <v>2.4693333333333336</v>
      </c>
      <c r="D8" s="8">
        <v>2266</v>
      </c>
      <c r="E8" s="10">
        <f>AVERAGE(D8:D10)/1000</f>
        <v>2.2673333333333336</v>
      </c>
      <c r="F8" s="7">
        <v>2235</v>
      </c>
      <c r="G8" s="9">
        <f>AVERAGE(F8:F10)/1000</f>
        <v>2.2203333333333335</v>
      </c>
      <c r="H8" s="8">
        <v>2193</v>
      </c>
      <c r="I8" s="10">
        <f>AVERAGE(H8:H10)/1000</f>
        <v>2.1859999999999999</v>
      </c>
      <c r="J8" s="7">
        <v>2273</v>
      </c>
      <c r="K8" s="9">
        <f>AVERAGE(J8:J10)/1000</f>
        <v>2.2639999999999998</v>
      </c>
      <c r="L8" s="6">
        <v>2279</v>
      </c>
      <c r="M8" s="11">
        <f>AVERAGE(L8:L10)/1000</f>
        <v>2.2530000000000001</v>
      </c>
    </row>
    <row r="9" spans="1:13" ht="21" customHeight="1" x14ac:dyDescent="0.25">
      <c r="A9" s="107"/>
      <c r="B9" s="7">
        <v>2493</v>
      </c>
      <c r="C9" s="111"/>
      <c r="D9" s="8">
        <v>2278</v>
      </c>
      <c r="E9" s="109"/>
      <c r="F9" s="7">
        <v>2210</v>
      </c>
      <c r="G9" s="111"/>
      <c r="H9" s="8">
        <v>2182</v>
      </c>
      <c r="I9" s="109"/>
      <c r="J9" s="7">
        <v>2248</v>
      </c>
      <c r="K9" s="111"/>
      <c r="L9" s="6">
        <v>2247</v>
      </c>
      <c r="M9" s="113"/>
    </row>
    <row r="10" spans="1:13" ht="21" customHeight="1" x14ac:dyDescent="0.25">
      <c r="A10" s="108"/>
      <c r="B10" s="7">
        <v>2450</v>
      </c>
      <c r="C10" s="112"/>
      <c r="D10" s="8">
        <v>2258</v>
      </c>
      <c r="E10" s="110"/>
      <c r="F10" s="7">
        <v>2216</v>
      </c>
      <c r="G10" s="112"/>
      <c r="H10" s="8">
        <v>2183</v>
      </c>
      <c r="I10" s="110"/>
      <c r="J10" s="7">
        <v>2271</v>
      </c>
      <c r="K10" s="112"/>
      <c r="L10" s="6">
        <v>2233</v>
      </c>
      <c r="M10" s="114"/>
    </row>
    <row r="11" spans="1:13" ht="21" customHeight="1" x14ac:dyDescent="0.25">
      <c r="A11" s="6">
        <v>28</v>
      </c>
      <c r="B11" s="7">
        <v>2396</v>
      </c>
      <c r="C11" s="9">
        <f>AVERAGE(B11:B13)/1000</f>
        <v>2.3843333333333336</v>
      </c>
      <c r="D11" s="8">
        <v>2373</v>
      </c>
      <c r="E11" s="10">
        <f>AVERAGE(D11:D13)/1000</f>
        <v>2.3496666666666663</v>
      </c>
      <c r="F11" s="7">
        <v>2249</v>
      </c>
      <c r="G11" s="9">
        <f>AVERAGE(F11:F13)/1000</f>
        <v>2.2530000000000001</v>
      </c>
      <c r="H11" s="8">
        <v>2182</v>
      </c>
      <c r="I11" s="10">
        <f>AVERAGE(H11:H13)/1000</f>
        <v>2.1816666666666666</v>
      </c>
      <c r="J11" s="7">
        <v>2198</v>
      </c>
      <c r="K11" s="9">
        <f>AVERAGE(J11:J13)/1000</f>
        <v>2.1906666666666665</v>
      </c>
      <c r="L11" s="6">
        <v>2199</v>
      </c>
      <c r="M11" s="11">
        <f>AVERAGE(L11:L13)/1000</f>
        <v>2.1840000000000002</v>
      </c>
    </row>
    <row r="12" spans="1:13" ht="21" customHeight="1" x14ac:dyDescent="0.25">
      <c r="A12" s="107"/>
      <c r="B12" s="7">
        <v>2369</v>
      </c>
      <c r="C12" s="111"/>
      <c r="D12" s="8">
        <v>2341</v>
      </c>
      <c r="E12" s="109"/>
      <c r="F12" s="7">
        <v>2243</v>
      </c>
      <c r="G12" s="111"/>
      <c r="H12" s="8">
        <v>2174</v>
      </c>
      <c r="I12" s="109"/>
      <c r="J12" s="7">
        <v>2190</v>
      </c>
      <c r="K12" s="111"/>
      <c r="L12" s="6">
        <v>2164</v>
      </c>
      <c r="M12" s="113"/>
    </row>
    <row r="13" spans="1:13" ht="21" customHeight="1" x14ac:dyDescent="0.25">
      <c r="A13" s="108"/>
      <c r="B13" s="7">
        <v>2388</v>
      </c>
      <c r="C13" s="112"/>
      <c r="D13" s="8">
        <v>2335</v>
      </c>
      <c r="E13" s="110"/>
      <c r="F13" s="7">
        <v>2267</v>
      </c>
      <c r="G13" s="112"/>
      <c r="H13" s="8">
        <v>2189</v>
      </c>
      <c r="I13" s="110"/>
      <c r="J13" s="7">
        <v>2184</v>
      </c>
      <c r="K13" s="112"/>
      <c r="L13" s="6">
        <v>2189</v>
      </c>
      <c r="M13" s="114"/>
    </row>
    <row r="14" spans="1:13" ht="21" customHeight="1" x14ac:dyDescent="0.25">
      <c r="A14" s="117" t="s">
        <v>15</v>
      </c>
      <c r="B14" s="117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</row>
    <row r="15" spans="1:13" ht="21" customHeight="1" x14ac:dyDescent="0.25">
      <c r="A15" s="6">
        <v>7</v>
      </c>
      <c r="B15" s="7">
        <v>48.536000000000001</v>
      </c>
      <c r="C15" s="9">
        <f>AVERAGE(B15:B17)</f>
        <v>48.128666666666668</v>
      </c>
      <c r="D15" s="8">
        <v>30.353000000000002</v>
      </c>
      <c r="E15" s="10">
        <f>AVERAGE(D15:D17)</f>
        <v>30.985333333333333</v>
      </c>
      <c r="F15" s="7">
        <v>24.963000000000001</v>
      </c>
      <c r="G15" s="9">
        <f>AVERAGE(F15:F17)</f>
        <v>25.482333333333333</v>
      </c>
      <c r="H15" s="8">
        <v>22.613</v>
      </c>
      <c r="I15" s="10">
        <f>AVERAGE(H15:H17)</f>
        <v>21.890333333333334</v>
      </c>
      <c r="J15" s="7">
        <v>20.623000000000001</v>
      </c>
      <c r="K15" s="9">
        <f>AVERAGE(J15:J17)</f>
        <v>22.018333333333334</v>
      </c>
      <c r="L15" s="6">
        <v>22.486000000000001</v>
      </c>
      <c r="M15" s="11">
        <f>AVERAGE(L15:L17)</f>
        <v>23.265000000000001</v>
      </c>
    </row>
    <row r="16" spans="1:13" ht="21" customHeight="1" x14ac:dyDescent="0.25">
      <c r="A16" s="107"/>
      <c r="B16" s="7">
        <v>46.802999999999997</v>
      </c>
      <c r="C16" s="111"/>
      <c r="D16" s="8">
        <v>32.061999999999998</v>
      </c>
      <c r="E16" s="109"/>
      <c r="F16" s="7">
        <v>27.754999999999999</v>
      </c>
      <c r="G16" s="111"/>
      <c r="H16" s="8">
        <v>21.577999999999999</v>
      </c>
      <c r="I16" s="109"/>
      <c r="J16" s="7">
        <v>22.568000000000001</v>
      </c>
      <c r="K16" s="111"/>
      <c r="L16" s="6">
        <v>24.044</v>
      </c>
      <c r="M16" s="113"/>
    </row>
    <row r="17" spans="1:13" ht="21" customHeight="1" x14ac:dyDescent="0.25">
      <c r="A17" s="108"/>
      <c r="B17" s="7">
        <v>49.046999999999997</v>
      </c>
      <c r="C17" s="112"/>
      <c r="D17" s="8">
        <v>30.541</v>
      </c>
      <c r="E17" s="110"/>
      <c r="F17" s="7">
        <v>23.728999999999999</v>
      </c>
      <c r="G17" s="112"/>
      <c r="H17" s="8">
        <v>21.48</v>
      </c>
      <c r="I17" s="110"/>
      <c r="J17" s="7">
        <v>22.864000000000001</v>
      </c>
      <c r="K17" s="112"/>
      <c r="L17" s="16" t="s">
        <v>140</v>
      </c>
      <c r="M17" s="114"/>
    </row>
    <row r="18" spans="1:13" ht="21" customHeight="1" x14ac:dyDescent="0.25">
      <c r="A18" s="6">
        <v>14</v>
      </c>
      <c r="B18" s="7">
        <v>52.96</v>
      </c>
      <c r="C18" s="9">
        <f>AVERAGE(B18:B20)</f>
        <v>53.783333333333331</v>
      </c>
      <c r="D18" s="8">
        <v>29.7</v>
      </c>
      <c r="E18" s="10">
        <f>AVERAGE(D18:D20)</f>
        <v>29.782</v>
      </c>
      <c r="F18" s="7">
        <v>21.262</v>
      </c>
      <c r="G18" s="9">
        <f>AVERAGE(F18:F20)</f>
        <v>20.259</v>
      </c>
      <c r="H18" s="8">
        <v>21.814</v>
      </c>
      <c r="I18" s="10">
        <f>AVERAGE(H18:H20)</f>
        <v>20.972333333333335</v>
      </c>
      <c r="J18" s="7">
        <v>23.742999999999999</v>
      </c>
      <c r="K18" s="9">
        <f>AVERAGE(J18:J20)</f>
        <v>23.421666666666667</v>
      </c>
      <c r="L18" s="68">
        <v>23.852</v>
      </c>
      <c r="M18" s="11">
        <f>AVERAGE(L18:L19)</f>
        <v>23.483000000000001</v>
      </c>
    </row>
    <row r="19" spans="1:13" ht="21" customHeight="1" x14ac:dyDescent="0.25">
      <c r="A19" s="107"/>
      <c r="B19" s="68">
        <v>53.874000000000002</v>
      </c>
      <c r="C19" s="111"/>
      <c r="D19" s="8">
        <v>30.08</v>
      </c>
      <c r="E19" s="109"/>
      <c r="F19" s="7">
        <v>20.074000000000002</v>
      </c>
      <c r="G19" s="111"/>
      <c r="H19" s="8">
        <v>21.228000000000002</v>
      </c>
      <c r="I19" s="109"/>
      <c r="J19" s="7">
        <v>22.54</v>
      </c>
      <c r="K19" s="111"/>
      <c r="L19" s="6">
        <v>23.114000000000001</v>
      </c>
      <c r="M19" s="113"/>
    </row>
    <row r="20" spans="1:13" ht="21" customHeight="1" x14ac:dyDescent="0.25">
      <c r="A20" s="108"/>
      <c r="B20" s="7">
        <v>54.515999999999998</v>
      </c>
      <c r="C20" s="112"/>
      <c r="D20" s="8">
        <v>29.565999999999999</v>
      </c>
      <c r="E20" s="110"/>
      <c r="F20" s="7">
        <v>19.440999999999999</v>
      </c>
      <c r="G20" s="112"/>
      <c r="H20" s="8">
        <v>19.875</v>
      </c>
      <c r="I20" s="110"/>
      <c r="J20" s="7">
        <v>23.981999999999999</v>
      </c>
      <c r="K20" s="112"/>
      <c r="L20" s="6">
        <v>23.082999999999998</v>
      </c>
      <c r="M20" s="114"/>
    </row>
    <row r="21" spans="1:13" ht="21" customHeight="1" x14ac:dyDescent="0.25">
      <c r="A21" s="6">
        <v>28</v>
      </c>
      <c r="B21" s="7">
        <v>52.027999999999999</v>
      </c>
      <c r="C21" s="9">
        <f>AVERAGE(B21:B23)</f>
        <v>52.920999999999999</v>
      </c>
      <c r="D21" s="8">
        <v>32.570999999999998</v>
      </c>
      <c r="E21" s="10">
        <f>AVERAGE(D21:D23)</f>
        <v>32.292999999999999</v>
      </c>
      <c r="F21" s="7">
        <v>26.56</v>
      </c>
      <c r="G21" s="9">
        <f>AVERAGE(F21:F23)</f>
        <v>28.212</v>
      </c>
      <c r="H21" s="8">
        <v>27.635000000000002</v>
      </c>
      <c r="I21" s="10">
        <f>AVERAGE(H21:H23)</f>
        <v>25.930666666666667</v>
      </c>
      <c r="J21" s="7">
        <v>24.25</v>
      </c>
      <c r="K21" s="9">
        <f>AVERAGE(J21:J23)</f>
        <v>25.063333333333333</v>
      </c>
      <c r="L21" s="6">
        <v>23.971</v>
      </c>
      <c r="M21" s="11">
        <f>AVERAGE(L21:L22)</f>
        <v>23.295999999999999</v>
      </c>
    </row>
    <row r="22" spans="1:13" ht="21" customHeight="1" x14ac:dyDescent="0.25">
      <c r="A22" s="107"/>
      <c r="B22" s="7">
        <v>54.601999999999997</v>
      </c>
      <c r="C22" s="111"/>
      <c r="D22" s="8">
        <v>30.977</v>
      </c>
      <c r="E22" s="109"/>
      <c r="F22" s="7">
        <v>29.231000000000002</v>
      </c>
      <c r="G22" s="111"/>
      <c r="H22" s="8">
        <v>24.091000000000001</v>
      </c>
      <c r="I22" s="109"/>
      <c r="J22" s="7">
        <v>25.853999999999999</v>
      </c>
      <c r="K22" s="111"/>
      <c r="L22" s="6">
        <v>22.620999999999999</v>
      </c>
      <c r="M22" s="113"/>
    </row>
    <row r="23" spans="1:13" ht="21" customHeight="1" x14ac:dyDescent="0.25">
      <c r="A23" s="108"/>
      <c r="B23" s="7">
        <v>52.133000000000003</v>
      </c>
      <c r="C23" s="112"/>
      <c r="D23" s="8">
        <v>33.331000000000003</v>
      </c>
      <c r="E23" s="110"/>
      <c r="F23" s="7">
        <v>28.844999999999999</v>
      </c>
      <c r="G23" s="112"/>
      <c r="H23" s="8">
        <v>26.065999999999999</v>
      </c>
      <c r="I23" s="110"/>
      <c r="J23" s="7">
        <v>25.085999999999999</v>
      </c>
      <c r="K23" s="112"/>
      <c r="L23" s="6">
        <v>23.276</v>
      </c>
      <c r="M23" s="114"/>
    </row>
    <row r="24" spans="1:13" ht="21" customHeight="1" x14ac:dyDescent="0.25">
      <c r="A24" s="104" t="s">
        <v>30</v>
      </c>
      <c r="B24" s="105"/>
      <c r="C24" s="105"/>
      <c r="D24" s="105"/>
      <c r="E24" s="105"/>
      <c r="F24" s="105"/>
      <c r="G24" s="105"/>
      <c r="H24" s="105"/>
      <c r="I24" s="105"/>
      <c r="J24" s="105"/>
      <c r="K24" s="105"/>
      <c r="L24" s="105"/>
      <c r="M24" s="106"/>
    </row>
    <row r="25" spans="1:13" x14ac:dyDescent="0.25">
      <c r="A25" s="16">
        <v>28</v>
      </c>
      <c r="B25" s="14">
        <v>3928</v>
      </c>
      <c r="C25" s="9">
        <f>AVERAGE(B25:B27)/(PI()*10*10*20/4)</f>
        <v>2.5029767383585404</v>
      </c>
      <c r="D25" s="8">
        <v>3800</v>
      </c>
      <c r="E25" s="10">
        <f>AVERAGE(D25:D27)/(PI()*10*10*20/4)</f>
        <v>2.4166086559073388</v>
      </c>
      <c r="F25" s="14">
        <v>3757</v>
      </c>
      <c r="G25" s="9">
        <f>AVERAGE(F25:F27)/(PI()*10*10*20/4)</f>
        <v>2.391780484785003</v>
      </c>
      <c r="H25" s="8">
        <v>3659</v>
      </c>
      <c r="I25" s="10">
        <f>AVERAGE(H25:H27)/(PI()*10*10*20/4)</f>
        <v>2.3349091184534991</v>
      </c>
      <c r="J25" s="14">
        <v>3643</v>
      </c>
      <c r="K25" s="9">
        <f>AVERAGE(J25:J27)/(PI()*10*10*20/4)</f>
        <v>2.3223889295969364</v>
      </c>
      <c r="L25" s="16">
        <v>3601</v>
      </c>
      <c r="M25" s="11">
        <f>AVERAGE(L25:L27)/(PI()*10*10*20/4)</f>
        <v>2.2911945607509252</v>
      </c>
    </row>
    <row r="26" spans="1:13" x14ac:dyDescent="0.25">
      <c r="A26" s="107"/>
      <c r="B26" s="14">
        <v>3929</v>
      </c>
      <c r="C26" s="111"/>
      <c r="D26" s="8">
        <v>3798</v>
      </c>
      <c r="E26" s="109"/>
      <c r="F26" s="14">
        <v>3770</v>
      </c>
      <c r="G26" s="111"/>
      <c r="H26" s="8">
        <v>3676</v>
      </c>
      <c r="I26" s="109"/>
      <c r="J26" s="14">
        <v>3660</v>
      </c>
      <c r="K26" s="111"/>
      <c r="L26" s="16">
        <v>3597</v>
      </c>
      <c r="M26" s="113"/>
    </row>
    <row r="27" spans="1:13" x14ac:dyDescent="0.25">
      <c r="A27" s="108"/>
      <c r="B27" s="14">
        <v>3938</v>
      </c>
      <c r="C27" s="112"/>
      <c r="D27" s="8">
        <v>3790</v>
      </c>
      <c r="E27" s="110"/>
      <c r="F27" s="14">
        <v>3744</v>
      </c>
      <c r="G27" s="112"/>
      <c r="H27" s="8">
        <v>3668</v>
      </c>
      <c r="I27" s="110"/>
      <c r="J27" s="14">
        <v>3641</v>
      </c>
      <c r="K27" s="112"/>
      <c r="L27" s="16">
        <v>3599</v>
      </c>
      <c r="M27" s="114"/>
    </row>
    <row r="28" spans="1:13" ht="21" customHeight="1" x14ac:dyDescent="0.25">
      <c r="A28" s="104" t="s">
        <v>16</v>
      </c>
      <c r="B28" s="105"/>
      <c r="C28" s="105"/>
      <c r="D28" s="105"/>
      <c r="E28" s="105"/>
      <c r="F28" s="105"/>
      <c r="G28" s="105"/>
      <c r="H28" s="105"/>
      <c r="I28" s="105"/>
      <c r="J28" s="105"/>
      <c r="K28" s="105"/>
      <c r="L28" s="105"/>
      <c r="M28" s="106"/>
    </row>
    <row r="29" spans="1:13" x14ac:dyDescent="0.25">
      <c r="A29" s="107">
        <v>28</v>
      </c>
      <c r="B29" s="14">
        <v>3.5539999999999998</v>
      </c>
      <c r="C29" s="9">
        <f>AVERAGE(B29:B31)</f>
        <v>3.5273333333333334</v>
      </c>
      <c r="D29" s="8">
        <v>3.448</v>
      </c>
      <c r="E29" s="10">
        <f>AVERAGE(D29:D31)</f>
        <v>3.4649999999999999</v>
      </c>
      <c r="F29" s="14">
        <v>3.82</v>
      </c>
      <c r="G29" s="9">
        <f>AVERAGE(F29:F31)</f>
        <v>3.4289999999999998</v>
      </c>
      <c r="H29" s="8">
        <v>3.4249999999999998</v>
      </c>
      <c r="I29" s="10">
        <f>AVERAGE(H29:H31)</f>
        <v>3.4306666666666668</v>
      </c>
      <c r="J29" s="14">
        <v>2.427</v>
      </c>
      <c r="K29" s="9">
        <f>AVERAGE(J29:J31)</f>
        <v>2.4860000000000002</v>
      </c>
      <c r="L29" s="16">
        <v>2.4689999999999999</v>
      </c>
      <c r="M29" s="11">
        <f>AVERAGE(L29:L31)</f>
        <v>2.4123333333333332</v>
      </c>
    </row>
    <row r="30" spans="1:13" x14ac:dyDescent="0.25">
      <c r="A30" s="115"/>
      <c r="B30" s="14">
        <v>3.4510000000000001</v>
      </c>
      <c r="C30" s="111"/>
      <c r="D30" s="8">
        <v>3.5350000000000001</v>
      </c>
      <c r="E30" s="109"/>
      <c r="F30" s="14">
        <v>3.335</v>
      </c>
      <c r="G30" s="111"/>
      <c r="H30" s="8">
        <v>3.4460000000000002</v>
      </c>
      <c r="I30" s="109"/>
      <c r="J30" s="14">
        <v>2.4470000000000001</v>
      </c>
      <c r="K30" s="111"/>
      <c r="L30" s="16">
        <v>2.3159999999999998</v>
      </c>
      <c r="M30" s="113"/>
    </row>
    <row r="31" spans="1:13" x14ac:dyDescent="0.25">
      <c r="A31" s="108"/>
      <c r="B31" s="14">
        <v>3.577</v>
      </c>
      <c r="C31" s="112"/>
      <c r="D31" s="8">
        <v>3.4119999999999999</v>
      </c>
      <c r="E31" s="110"/>
      <c r="F31" s="14">
        <v>3.1320000000000001</v>
      </c>
      <c r="G31" s="112"/>
      <c r="H31" s="68">
        <v>3.4209999999999998</v>
      </c>
      <c r="I31" s="110"/>
      <c r="J31" s="14">
        <v>2.5840000000000001</v>
      </c>
      <c r="K31" s="112"/>
      <c r="L31" s="16">
        <v>2.452</v>
      </c>
      <c r="M31" s="114"/>
    </row>
    <row r="32" spans="1:13" ht="20.25" customHeight="1" x14ac:dyDescent="0.25">
      <c r="A32" s="104" t="s">
        <v>31</v>
      </c>
      <c r="B32" s="105"/>
      <c r="C32" s="105"/>
      <c r="D32" s="105"/>
      <c r="E32" s="105"/>
      <c r="F32" s="105"/>
      <c r="G32" s="105"/>
      <c r="H32" s="105"/>
      <c r="I32" s="105"/>
      <c r="J32" s="105"/>
      <c r="K32" s="105"/>
      <c r="L32" s="105"/>
      <c r="M32" s="106"/>
    </row>
    <row r="33" spans="1:13" ht="20.25" customHeight="1" x14ac:dyDescent="0.25">
      <c r="A33" s="16">
        <v>28</v>
      </c>
      <c r="B33" s="9">
        <f>9046/(10*10*35)</f>
        <v>2.5845714285714285</v>
      </c>
      <c r="C33" s="9"/>
      <c r="D33" s="10">
        <f>8922/(10*10*35)</f>
        <v>2.5491428571428569</v>
      </c>
      <c r="E33" s="10"/>
      <c r="F33" s="9">
        <f>8740/(10*10*35)</f>
        <v>2.4971428571428573</v>
      </c>
      <c r="G33" s="9"/>
      <c r="H33" s="10">
        <f>8138/(10*10*35)</f>
        <v>2.3251428571428572</v>
      </c>
      <c r="I33" s="10"/>
      <c r="J33" s="14">
        <f>8162/(10*10*35)</f>
        <v>2.3319999999999999</v>
      </c>
      <c r="K33" s="9"/>
      <c r="L33" s="16">
        <v>2.2799999999999998</v>
      </c>
      <c r="M33" s="11"/>
    </row>
    <row r="34" spans="1:13" ht="20.25" customHeight="1" x14ac:dyDescent="0.25">
      <c r="A34" s="117" t="s">
        <v>17</v>
      </c>
      <c r="B34" s="117"/>
      <c r="C34" s="117"/>
      <c r="D34" s="117"/>
      <c r="E34" s="117"/>
      <c r="F34" s="117"/>
      <c r="G34" s="117"/>
      <c r="H34" s="117"/>
      <c r="I34" s="117"/>
      <c r="J34" s="117"/>
      <c r="K34" s="117"/>
      <c r="L34" s="117"/>
      <c r="M34" s="117"/>
    </row>
    <row r="35" spans="1:13" ht="20.25" customHeight="1" x14ac:dyDescent="0.25">
      <c r="A35" s="16">
        <v>28</v>
      </c>
      <c r="B35" s="7">
        <v>9.3620000000000001</v>
      </c>
      <c r="C35" s="14">
        <v>9.3620000000000001</v>
      </c>
      <c r="D35" s="8">
        <v>8.0890000000000004</v>
      </c>
      <c r="E35" s="8">
        <v>8.0890000000000004</v>
      </c>
      <c r="F35" s="7">
        <v>7.6760000000000002</v>
      </c>
      <c r="G35" s="14">
        <v>7.6760000000000002</v>
      </c>
      <c r="H35" s="8">
        <v>6.6520000000000001</v>
      </c>
      <c r="I35" s="8">
        <v>6.6520000000000001</v>
      </c>
      <c r="J35" s="7">
        <v>6.1840000000000002</v>
      </c>
      <c r="K35" s="18">
        <v>6.1840000000000002</v>
      </c>
      <c r="L35" s="6">
        <v>5.89</v>
      </c>
      <c r="M35" s="16">
        <v>5.89</v>
      </c>
    </row>
    <row r="36" spans="1:13" x14ac:dyDescent="0.25">
      <c r="A36" s="1" t="s">
        <v>32</v>
      </c>
      <c r="C36" s="1">
        <v>0</v>
      </c>
      <c r="E36" s="1">
        <v>1</v>
      </c>
      <c r="G36" s="1">
        <v>2</v>
      </c>
      <c r="I36" s="1">
        <v>3</v>
      </c>
      <c r="K36" s="1">
        <v>4</v>
      </c>
      <c r="M36" s="1">
        <v>5</v>
      </c>
    </row>
    <row r="37" spans="1:13" x14ac:dyDescent="0.25">
      <c r="A37" s="1" t="s">
        <v>33</v>
      </c>
      <c r="C37" s="26">
        <f>Absorpsion!F8</f>
        <v>3.2371580928845345E-2</v>
      </c>
      <c r="E37" s="1">
        <f>Absorpsion!J8</f>
        <v>4.8718913606284331E-2</v>
      </c>
      <c r="G37" s="1">
        <f>Absorpsion!N8</f>
        <v>5.2069149108015432E-2</v>
      </c>
      <c r="I37" s="1">
        <f>Absorpsion!R8</f>
        <v>5.8312626895397596E-2</v>
      </c>
      <c r="K37" s="1">
        <f>Absorpsion!V8</f>
        <v>5.46616959994645E-2</v>
      </c>
      <c r="M37" s="1">
        <f>Absorpsion!Z8</f>
        <v>6.1766316062551743E-2</v>
      </c>
    </row>
  </sheetData>
  <mergeCells count="68">
    <mergeCell ref="B1:C1"/>
    <mergeCell ref="D1:E1"/>
    <mergeCell ref="F1:G1"/>
    <mergeCell ref="H1:I1"/>
    <mergeCell ref="J1:K1"/>
    <mergeCell ref="L1:M1"/>
    <mergeCell ref="A4:M4"/>
    <mergeCell ref="A14:M14"/>
    <mergeCell ref="A28:M28"/>
    <mergeCell ref="A34:M34"/>
    <mergeCell ref="G30:G31"/>
    <mergeCell ref="I30:I31"/>
    <mergeCell ref="K30:K31"/>
    <mergeCell ref="G9:G10"/>
    <mergeCell ref="G12:G13"/>
    <mergeCell ref="K9:K10"/>
    <mergeCell ref="K12:K13"/>
    <mergeCell ref="C6:C7"/>
    <mergeCell ref="C9:C10"/>
    <mergeCell ref="C12:C13"/>
    <mergeCell ref="I6:I7"/>
    <mergeCell ref="M6:M7"/>
    <mergeCell ref="M9:M10"/>
    <mergeCell ref="M12:M13"/>
    <mergeCell ref="G6:G7"/>
    <mergeCell ref="A29:A31"/>
    <mergeCell ref="C30:C31"/>
    <mergeCell ref="E30:E31"/>
    <mergeCell ref="A24:M24"/>
    <mergeCell ref="C26:C27"/>
    <mergeCell ref="E26:E27"/>
    <mergeCell ref="G26:G27"/>
    <mergeCell ref="I26:I27"/>
    <mergeCell ref="K26:K27"/>
    <mergeCell ref="M26:M27"/>
    <mergeCell ref="A26:A27"/>
    <mergeCell ref="K6:K7"/>
    <mergeCell ref="A6:A7"/>
    <mergeCell ref="A9:A10"/>
    <mergeCell ref="A12:A13"/>
    <mergeCell ref="I16:I17"/>
    <mergeCell ref="I19:I20"/>
    <mergeCell ref="G19:G20"/>
    <mergeCell ref="C16:C17"/>
    <mergeCell ref="C19:C20"/>
    <mergeCell ref="G16:G17"/>
    <mergeCell ref="E16:E17"/>
    <mergeCell ref="E19:E20"/>
    <mergeCell ref="I9:I10"/>
    <mergeCell ref="I12:I13"/>
    <mergeCell ref="E6:E7"/>
    <mergeCell ref="E9:E10"/>
    <mergeCell ref="E12:E13"/>
    <mergeCell ref="A32:M32"/>
    <mergeCell ref="A16:A17"/>
    <mergeCell ref="A19:A20"/>
    <mergeCell ref="A22:A23"/>
    <mergeCell ref="I22:I23"/>
    <mergeCell ref="G22:G23"/>
    <mergeCell ref="C22:C23"/>
    <mergeCell ref="E22:E23"/>
    <mergeCell ref="K22:K23"/>
    <mergeCell ref="M16:M17"/>
    <mergeCell ref="M19:M20"/>
    <mergeCell ref="M22:M23"/>
    <mergeCell ref="M30:M31"/>
    <mergeCell ref="K16:K17"/>
    <mergeCell ref="K19:K20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AD3C8-293A-43CC-BD0E-B26882AEF21E}">
  <dimension ref="A1:K45"/>
  <sheetViews>
    <sheetView topLeftCell="A40" workbookViewId="0">
      <selection activeCell="G2" sqref="G2:J10"/>
    </sheetView>
  </sheetViews>
  <sheetFormatPr defaultRowHeight="15.75" x14ac:dyDescent="0.25"/>
  <cols>
    <col min="1" max="1" width="34.125" customWidth="1"/>
    <col min="2" max="4" width="8.125" style="1" customWidth="1"/>
    <col min="5" max="6" width="9.875" customWidth="1"/>
    <col min="7" max="7" width="42.375" bestFit="1" customWidth="1"/>
    <col min="8" max="10" width="9.625" customWidth="1"/>
  </cols>
  <sheetData>
    <row r="1" spans="1:11" x14ac:dyDescent="0.25">
      <c r="A1" s="27" t="s">
        <v>35</v>
      </c>
      <c r="G1" s="27" t="s">
        <v>35</v>
      </c>
      <c r="K1" t="s">
        <v>95</v>
      </c>
    </row>
    <row r="2" spans="1:11" ht="25.5" customHeight="1" thickBot="1" x14ac:dyDescent="0.3">
      <c r="A2" s="27" t="s">
        <v>43</v>
      </c>
      <c r="B2" s="1">
        <v>1</v>
      </c>
      <c r="C2" s="1">
        <v>2</v>
      </c>
      <c r="D2" s="1">
        <v>3</v>
      </c>
      <c r="G2" s="74"/>
      <c r="H2" s="79" t="s">
        <v>101</v>
      </c>
      <c r="I2" s="79" t="s">
        <v>102</v>
      </c>
      <c r="J2" s="84" t="s">
        <v>50</v>
      </c>
    </row>
    <row r="3" spans="1:11" ht="25.5" customHeight="1" thickBot="1" x14ac:dyDescent="0.3">
      <c r="A3" s="28" t="s">
        <v>36</v>
      </c>
      <c r="B3" s="67">
        <v>685</v>
      </c>
      <c r="C3" s="67">
        <v>685</v>
      </c>
      <c r="D3" s="67">
        <v>685</v>
      </c>
      <c r="G3" s="78" t="s">
        <v>136</v>
      </c>
      <c r="H3" s="79">
        <f>H4-500</f>
        <v>685</v>
      </c>
      <c r="I3" s="79">
        <f>I4-500</f>
        <v>685</v>
      </c>
      <c r="J3" s="80">
        <f>AVERAGE(H3:I3)</f>
        <v>685</v>
      </c>
    </row>
    <row r="4" spans="1:11" ht="25.5" customHeight="1" thickBot="1" x14ac:dyDescent="0.3">
      <c r="A4" s="30" t="s">
        <v>37</v>
      </c>
      <c r="B4" s="37">
        <v>1185</v>
      </c>
      <c r="C4" s="37">
        <v>1186</v>
      </c>
      <c r="D4" s="37">
        <v>1187</v>
      </c>
      <c r="G4" s="78" t="s">
        <v>103</v>
      </c>
      <c r="H4" s="79">
        <v>1185</v>
      </c>
      <c r="I4" s="79">
        <v>1185</v>
      </c>
      <c r="J4" s="80">
        <f>AVERAGE(H4:I4)</f>
        <v>1185</v>
      </c>
    </row>
    <row r="5" spans="1:11" ht="25.5" customHeight="1" thickBot="1" x14ac:dyDescent="0.3">
      <c r="A5" s="30" t="s">
        <v>38</v>
      </c>
      <c r="B5" s="37">
        <v>1851</v>
      </c>
      <c r="C5" s="37">
        <v>1847</v>
      </c>
      <c r="D5" s="37">
        <v>1853</v>
      </c>
      <c r="G5" s="78" t="s">
        <v>104</v>
      </c>
      <c r="H5" s="79">
        <v>1851</v>
      </c>
      <c r="I5" s="79">
        <v>1847</v>
      </c>
      <c r="J5" s="80">
        <f t="shared" ref="J5:J10" si="0">AVERAGE(H5:I5)</f>
        <v>1849</v>
      </c>
    </row>
    <row r="6" spans="1:11" ht="25.5" customHeight="1" thickBot="1" x14ac:dyDescent="0.3">
      <c r="A6" s="30" t="s">
        <v>39</v>
      </c>
      <c r="B6" s="37">
        <v>1560</v>
      </c>
      <c r="C6" s="37">
        <v>1561</v>
      </c>
      <c r="D6" s="37">
        <v>1558</v>
      </c>
      <c r="G6" s="78" t="s">
        <v>105</v>
      </c>
      <c r="H6" s="79">
        <v>473</v>
      </c>
      <c r="I6" s="79">
        <v>470</v>
      </c>
      <c r="J6" s="80">
        <f t="shared" si="0"/>
        <v>471.5</v>
      </c>
    </row>
    <row r="7" spans="1:11" ht="25.5" customHeight="1" thickBot="1" x14ac:dyDescent="0.3">
      <c r="A7" s="30" t="s">
        <v>40</v>
      </c>
      <c r="B7" s="37">
        <v>473</v>
      </c>
      <c r="C7" s="37">
        <v>470</v>
      </c>
      <c r="D7" s="37">
        <v>476</v>
      </c>
      <c r="G7" s="78" t="s">
        <v>106</v>
      </c>
      <c r="H7" s="79">
        <v>1560</v>
      </c>
      <c r="I7" s="79">
        <v>1561</v>
      </c>
      <c r="J7" s="80">
        <f t="shared" si="0"/>
        <v>1560.5</v>
      </c>
    </row>
    <row r="8" spans="1:11" ht="25.5" customHeight="1" x14ac:dyDescent="0.25">
      <c r="A8" s="27"/>
      <c r="G8" s="81" t="s">
        <v>137</v>
      </c>
      <c r="H8" s="82">
        <f>(H4-H3)/((H7-H3)-(H5-H4))</f>
        <v>2.3923444976076556</v>
      </c>
      <c r="I8" s="82">
        <f>(I4-I3)/((I7-I3)-(I5-I4))</f>
        <v>2.3364485981308412</v>
      </c>
      <c r="J8" s="102">
        <f t="shared" si="0"/>
        <v>2.3643965478692484</v>
      </c>
    </row>
    <row r="9" spans="1:11" ht="26.25" customHeight="1" x14ac:dyDescent="0.25">
      <c r="G9" s="81" t="s">
        <v>138</v>
      </c>
      <c r="H9" s="82">
        <f>H6/((H7-H3)-(H5-H4))</f>
        <v>2.263157894736842</v>
      </c>
      <c r="I9" s="82">
        <f>I6/((I7-I3)-(I5-I4))</f>
        <v>2.1962616822429908</v>
      </c>
      <c r="J9" s="83">
        <f t="shared" si="0"/>
        <v>2.2297097884899166</v>
      </c>
    </row>
    <row r="10" spans="1:11" ht="26.25" customHeight="1" x14ac:dyDescent="0.25">
      <c r="G10" s="81" t="s">
        <v>139</v>
      </c>
      <c r="H10" s="82">
        <f>((H4-H3-H6)/H6)*100</f>
        <v>5.7082452431289639</v>
      </c>
      <c r="I10" s="82">
        <f>((I4-I3-I6)/I6)*100</f>
        <v>6.3829787234042552</v>
      </c>
      <c r="J10" s="83">
        <f t="shared" si="0"/>
        <v>6.0456119832666095</v>
      </c>
    </row>
    <row r="11" spans="1:11" ht="26.25" customHeight="1" x14ac:dyDescent="0.25"/>
    <row r="12" spans="1:11" ht="26.25" customHeight="1" x14ac:dyDescent="0.25"/>
    <row r="13" spans="1:11" ht="26.25" customHeight="1" x14ac:dyDescent="0.25">
      <c r="G13" s="27" t="s">
        <v>41</v>
      </c>
    </row>
    <row r="14" spans="1:11" ht="26.25" customHeight="1" x14ac:dyDescent="0.25">
      <c r="A14" s="27" t="s">
        <v>41</v>
      </c>
      <c r="G14" s="74"/>
      <c r="H14" s="85" t="s">
        <v>101</v>
      </c>
      <c r="I14" s="85" t="s">
        <v>102</v>
      </c>
      <c r="J14" s="85" t="s">
        <v>50</v>
      </c>
    </row>
    <row r="15" spans="1:11" ht="26.25" customHeight="1" thickBot="1" x14ac:dyDescent="0.3">
      <c r="A15" s="27" t="s">
        <v>42</v>
      </c>
      <c r="G15" s="78" t="s">
        <v>111</v>
      </c>
      <c r="H15" s="79">
        <v>438</v>
      </c>
      <c r="I15" s="79">
        <v>438</v>
      </c>
      <c r="J15" s="86">
        <f>AVERAGE(H15:I15)</f>
        <v>438</v>
      </c>
      <c r="K15" s="76"/>
    </row>
    <row r="16" spans="1:11" ht="26.25" customHeight="1" thickBot="1" x14ac:dyDescent="0.3">
      <c r="A16" s="28" t="s">
        <v>43</v>
      </c>
      <c r="B16" s="67">
        <v>1</v>
      </c>
      <c r="C16" s="67">
        <v>2</v>
      </c>
      <c r="D16" s="67">
        <v>3</v>
      </c>
      <c r="G16" s="78" t="s">
        <v>112</v>
      </c>
      <c r="H16" s="79">
        <v>2438</v>
      </c>
      <c r="I16" s="79">
        <v>2438</v>
      </c>
      <c r="J16" s="86">
        <f t="shared" ref="J16:J25" si="1">AVERAGE(H16:I16)</f>
        <v>2438</v>
      </c>
      <c r="K16" s="76"/>
    </row>
    <row r="17" spans="1:11" ht="26.25" customHeight="1" thickBot="1" x14ac:dyDescent="0.3">
      <c r="A17" s="30" t="s">
        <v>44</v>
      </c>
      <c r="B17" s="37">
        <v>438</v>
      </c>
      <c r="C17" s="37">
        <v>438</v>
      </c>
      <c r="D17" s="37">
        <v>438</v>
      </c>
      <c r="G17" s="87" t="s">
        <v>113</v>
      </c>
      <c r="H17" s="88">
        <v>2000</v>
      </c>
      <c r="I17" s="88">
        <v>2000</v>
      </c>
      <c r="J17" s="89">
        <f t="shared" si="1"/>
        <v>2000</v>
      </c>
      <c r="K17" s="76"/>
    </row>
    <row r="18" spans="1:11" ht="26.25" customHeight="1" thickBot="1" x14ac:dyDescent="0.3">
      <c r="A18" s="30" t="s">
        <v>45</v>
      </c>
      <c r="B18" s="37">
        <v>395</v>
      </c>
      <c r="C18" s="37">
        <v>395</v>
      </c>
      <c r="D18" s="37">
        <v>395</v>
      </c>
      <c r="G18" s="87" t="s">
        <v>114</v>
      </c>
      <c r="H18" s="88">
        <v>395</v>
      </c>
      <c r="I18" s="88">
        <v>395</v>
      </c>
      <c r="J18" s="89">
        <f t="shared" si="1"/>
        <v>395</v>
      </c>
      <c r="K18" s="76"/>
    </row>
    <row r="19" spans="1:11" ht="26.25" customHeight="1" thickBot="1" x14ac:dyDescent="0.3">
      <c r="A19" s="30" t="s">
        <v>46</v>
      </c>
      <c r="B19" s="37">
        <v>2800.5</v>
      </c>
      <c r="C19" s="37">
        <v>2799.5</v>
      </c>
      <c r="D19" s="37">
        <v>2800.5</v>
      </c>
      <c r="G19" s="87" t="s">
        <v>115</v>
      </c>
      <c r="H19" s="88">
        <v>1607.5</v>
      </c>
      <c r="I19" s="88">
        <v>1606.5</v>
      </c>
      <c r="J19" s="89">
        <f t="shared" si="1"/>
        <v>1607</v>
      </c>
      <c r="K19" s="74"/>
    </row>
    <row r="20" spans="1:11" ht="26.25" customHeight="1" thickBot="1" x14ac:dyDescent="0.3">
      <c r="A20" s="30" t="s">
        <v>47</v>
      </c>
      <c r="B20" s="37">
        <v>1607.5</v>
      </c>
      <c r="C20" s="37">
        <v>1606.5</v>
      </c>
      <c r="D20" s="37">
        <v>1609.5</v>
      </c>
      <c r="G20" s="87" t="s">
        <v>116</v>
      </c>
      <c r="H20" s="88">
        <f>H19-H18</f>
        <v>1212.5</v>
      </c>
      <c r="I20" s="88">
        <f>I19-I18</f>
        <v>1211.5</v>
      </c>
      <c r="J20" s="90">
        <f t="shared" si="1"/>
        <v>1212</v>
      </c>
      <c r="K20" s="74"/>
    </row>
    <row r="21" spans="1:11" ht="26.25" customHeight="1" thickBot="1" x14ac:dyDescent="0.3">
      <c r="A21" s="30" t="s">
        <v>48</v>
      </c>
      <c r="B21" s="37">
        <v>1926</v>
      </c>
      <c r="C21" s="37">
        <v>1923</v>
      </c>
      <c r="D21" s="37">
        <v>1930</v>
      </c>
      <c r="G21" s="87" t="s">
        <v>117</v>
      </c>
      <c r="H21" s="88">
        <v>1926</v>
      </c>
      <c r="I21" s="88">
        <v>1923</v>
      </c>
      <c r="J21" s="91">
        <f t="shared" si="1"/>
        <v>1924.5</v>
      </c>
      <c r="K21" s="74"/>
    </row>
    <row r="22" spans="1:11" ht="22.5" customHeight="1" x14ac:dyDescent="0.25">
      <c r="A22" s="27"/>
      <c r="G22" s="81" t="s">
        <v>108</v>
      </c>
      <c r="H22" s="82">
        <f>H17/(H17-H20)</f>
        <v>2.5396825396825395</v>
      </c>
      <c r="I22" s="82">
        <f>I17/(I17-I20)</f>
        <v>2.5364616360177554</v>
      </c>
      <c r="J22" s="102">
        <f t="shared" si="1"/>
        <v>2.5380720878501473</v>
      </c>
      <c r="K22" s="74"/>
    </row>
    <row r="23" spans="1:11" ht="22.5" customHeight="1" x14ac:dyDescent="0.25">
      <c r="A23" s="27"/>
      <c r="G23" s="81" t="s">
        <v>109</v>
      </c>
      <c r="H23" s="82">
        <f>H21/(H17-H20)</f>
        <v>2.4457142857142857</v>
      </c>
      <c r="I23" s="82">
        <f>I21/(I17-I20)</f>
        <v>2.4388078630310717</v>
      </c>
      <c r="J23" s="83">
        <f t="shared" si="1"/>
        <v>2.4422610743726789</v>
      </c>
    </row>
    <row r="24" spans="1:11" ht="22.5" customHeight="1" x14ac:dyDescent="0.25">
      <c r="A24" s="27"/>
      <c r="G24" s="81" t="s">
        <v>110</v>
      </c>
      <c r="H24" s="82">
        <f>H21/(H21-H20)</f>
        <v>2.6993693062368607</v>
      </c>
      <c r="I24" s="82">
        <f>I21/(I21-I20)</f>
        <v>2.7027406886858749</v>
      </c>
      <c r="J24" s="83">
        <f t="shared" si="1"/>
        <v>2.7010549974613678</v>
      </c>
    </row>
    <row r="25" spans="1:11" ht="22.5" customHeight="1" x14ac:dyDescent="0.25">
      <c r="A25" s="27"/>
      <c r="G25" s="92" t="s">
        <v>107</v>
      </c>
      <c r="H25" s="82">
        <f>((H17-H21)*100)/H21</f>
        <v>3.8421599169262719</v>
      </c>
      <c r="I25" s="82">
        <f>((I17-I21)*100)/I21</f>
        <v>4.0041601664066562</v>
      </c>
      <c r="J25" s="83">
        <f t="shared" si="1"/>
        <v>3.9231600416664643</v>
      </c>
    </row>
    <row r="26" spans="1:11" x14ac:dyDescent="0.25">
      <c r="A26" s="27"/>
    </row>
    <row r="27" spans="1:11" ht="17.25" customHeight="1" x14ac:dyDescent="0.25"/>
    <row r="28" spans="1:11" ht="17.25" customHeight="1" x14ac:dyDescent="0.25"/>
    <row r="29" spans="1:11" ht="17.25" customHeight="1" x14ac:dyDescent="0.25"/>
    <row r="30" spans="1:11" x14ac:dyDescent="0.25">
      <c r="A30" s="71" t="s">
        <v>91</v>
      </c>
    </row>
    <row r="31" spans="1:11" ht="16.5" thickBot="1" x14ac:dyDescent="0.3">
      <c r="A31" s="27" t="s">
        <v>35</v>
      </c>
      <c r="B31"/>
      <c r="C31"/>
      <c r="D31"/>
    </row>
    <row r="32" spans="1:11" ht="16.5" thickBot="1" x14ac:dyDescent="0.3">
      <c r="A32" s="28" t="s">
        <v>36</v>
      </c>
      <c r="B32" s="29">
        <v>685</v>
      </c>
      <c r="C32" s="29">
        <v>685</v>
      </c>
      <c r="D32" s="29">
        <v>685</v>
      </c>
    </row>
    <row r="33" spans="1:4" ht="16.5" thickBot="1" x14ac:dyDescent="0.3">
      <c r="A33" s="30" t="s">
        <v>37</v>
      </c>
      <c r="B33" s="31">
        <v>1185</v>
      </c>
      <c r="C33" s="31">
        <v>1186</v>
      </c>
      <c r="D33" s="31">
        <v>1187</v>
      </c>
    </row>
    <row r="34" spans="1:4" ht="16.5" thickBot="1" x14ac:dyDescent="0.3">
      <c r="A34" s="30" t="s">
        <v>38</v>
      </c>
      <c r="B34" s="31">
        <v>1851</v>
      </c>
      <c r="C34" s="31">
        <v>1847</v>
      </c>
      <c r="D34" s="31">
        <v>1853</v>
      </c>
    </row>
    <row r="35" spans="1:4" ht="16.5" thickBot="1" x14ac:dyDescent="0.3">
      <c r="A35" s="30" t="s">
        <v>39</v>
      </c>
      <c r="B35" s="31">
        <v>1560</v>
      </c>
      <c r="C35" s="31">
        <v>1561</v>
      </c>
      <c r="D35" s="31">
        <v>1558</v>
      </c>
    </row>
    <row r="36" spans="1:4" ht="16.5" thickBot="1" x14ac:dyDescent="0.3">
      <c r="A36" s="30" t="s">
        <v>40</v>
      </c>
      <c r="B36" s="31">
        <v>473</v>
      </c>
      <c r="C36" s="31">
        <v>470</v>
      </c>
      <c r="D36" s="31">
        <v>476</v>
      </c>
    </row>
    <row r="37" spans="1:4" x14ac:dyDescent="0.25">
      <c r="A37" s="27"/>
      <c r="B37"/>
      <c r="C37"/>
      <c r="D37"/>
    </row>
    <row r="38" spans="1:4" x14ac:dyDescent="0.25">
      <c r="A38" s="27" t="s">
        <v>41</v>
      </c>
      <c r="B38"/>
      <c r="C38"/>
      <c r="D38"/>
    </row>
    <row r="39" spans="1:4" ht="16.5" thickBot="1" x14ac:dyDescent="0.3">
      <c r="A39" s="27" t="s">
        <v>42</v>
      </c>
      <c r="B39"/>
      <c r="C39"/>
      <c r="D39"/>
    </row>
    <row r="40" spans="1:4" ht="16.5" thickBot="1" x14ac:dyDescent="0.3">
      <c r="A40" s="28" t="s">
        <v>43</v>
      </c>
      <c r="B40" s="29">
        <v>1</v>
      </c>
      <c r="C40" s="29">
        <v>2</v>
      </c>
      <c r="D40" s="29">
        <v>3</v>
      </c>
    </row>
    <row r="41" spans="1:4" ht="16.5" thickBot="1" x14ac:dyDescent="0.3">
      <c r="A41" s="30" t="s">
        <v>44</v>
      </c>
      <c r="B41" s="31">
        <v>438</v>
      </c>
      <c r="C41" s="31">
        <v>438</v>
      </c>
      <c r="D41" s="31">
        <v>438</v>
      </c>
    </row>
    <row r="42" spans="1:4" ht="16.5" thickBot="1" x14ac:dyDescent="0.3">
      <c r="A42" s="30" t="s">
        <v>45</v>
      </c>
      <c r="B42" s="31">
        <v>395</v>
      </c>
      <c r="C42" s="31">
        <v>395</v>
      </c>
      <c r="D42" s="31">
        <v>395</v>
      </c>
    </row>
    <row r="43" spans="1:4" ht="16.5" thickBot="1" x14ac:dyDescent="0.3">
      <c r="A43" s="30" t="s">
        <v>46</v>
      </c>
      <c r="B43" s="31">
        <v>2800.5</v>
      </c>
      <c r="C43" s="31">
        <v>2799.5</v>
      </c>
      <c r="D43" s="31">
        <v>2800.5</v>
      </c>
    </row>
    <row r="44" spans="1:4" ht="16.5" thickBot="1" x14ac:dyDescent="0.3">
      <c r="A44" s="30" t="s">
        <v>47</v>
      </c>
      <c r="B44" s="31">
        <v>1607.5</v>
      </c>
      <c r="C44" s="31">
        <v>1606.5</v>
      </c>
      <c r="D44" s="31">
        <v>1609.5</v>
      </c>
    </row>
    <row r="45" spans="1:4" ht="16.5" thickBot="1" x14ac:dyDescent="0.3">
      <c r="A45" s="30" t="s">
        <v>48</v>
      </c>
      <c r="B45" s="31">
        <v>1926</v>
      </c>
      <c r="C45" s="31">
        <v>1923</v>
      </c>
      <c r="D45" s="31">
        <v>1930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0A5C2-E301-4361-A9B0-26E98B0E50DC}">
  <dimension ref="A1:I16"/>
  <sheetViews>
    <sheetView workbookViewId="0">
      <selection activeCell="C14" sqref="C14"/>
    </sheetView>
  </sheetViews>
  <sheetFormatPr defaultRowHeight="15.75" x14ac:dyDescent="0.25"/>
  <cols>
    <col min="1" max="1" width="22.125" customWidth="1"/>
    <col min="2" max="2" width="9" customWidth="1"/>
    <col min="3" max="3" width="12.125" customWidth="1"/>
    <col min="6" max="6" width="19.875" bestFit="1" customWidth="1"/>
    <col min="7" max="8" width="11.5" customWidth="1"/>
  </cols>
  <sheetData>
    <row r="1" spans="1:9" ht="24.75" customHeight="1" x14ac:dyDescent="0.25">
      <c r="A1" s="95"/>
      <c r="B1" s="96"/>
      <c r="C1" s="95"/>
    </row>
    <row r="2" spans="1:9" ht="24.75" customHeight="1" x14ac:dyDescent="0.25">
      <c r="A2" s="121" t="s">
        <v>119</v>
      </c>
      <c r="B2" s="121"/>
      <c r="C2" s="121"/>
      <c r="G2" s="74" t="s">
        <v>123</v>
      </c>
    </row>
    <row r="3" spans="1:9" ht="24.75" customHeight="1" x14ac:dyDescent="0.25">
      <c r="A3" s="95"/>
      <c r="B3" s="79" t="s">
        <v>101</v>
      </c>
      <c r="C3" s="79" t="s">
        <v>102</v>
      </c>
      <c r="D3" s="4" t="s">
        <v>50</v>
      </c>
      <c r="F3" s="95"/>
      <c r="G3" s="79" t="s">
        <v>101</v>
      </c>
      <c r="H3" s="79" t="s">
        <v>102</v>
      </c>
      <c r="I3" s="4" t="s">
        <v>50</v>
      </c>
    </row>
    <row r="4" spans="1:9" ht="24.75" customHeight="1" x14ac:dyDescent="0.25">
      <c r="A4" s="78" t="s">
        <v>133</v>
      </c>
      <c r="B4" s="79">
        <v>3363</v>
      </c>
      <c r="C4" s="79">
        <v>3363</v>
      </c>
      <c r="D4" s="4">
        <f t="shared" ref="D4:D9" si="0">AVERAGE(B4:C4)</f>
        <v>3363</v>
      </c>
      <c r="F4" s="78" t="s">
        <v>133</v>
      </c>
      <c r="G4" s="79">
        <v>3363</v>
      </c>
      <c r="H4" s="79">
        <v>3363</v>
      </c>
      <c r="I4" s="4">
        <f t="shared" ref="I4:I9" si="1">AVERAGE(G4:H4)</f>
        <v>3363</v>
      </c>
    </row>
    <row r="5" spans="1:9" ht="24.75" customHeight="1" x14ac:dyDescent="0.25">
      <c r="A5" s="78" t="s">
        <v>134</v>
      </c>
      <c r="B5" s="79">
        <v>5220</v>
      </c>
      <c r="C5" s="79">
        <v>5220</v>
      </c>
      <c r="D5" s="4">
        <f t="shared" si="0"/>
        <v>5220</v>
      </c>
      <c r="F5" s="78" t="s">
        <v>134</v>
      </c>
      <c r="G5" s="79">
        <v>5220</v>
      </c>
      <c r="H5" s="79">
        <v>5220</v>
      </c>
      <c r="I5" s="4">
        <f t="shared" si="1"/>
        <v>5220</v>
      </c>
    </row>
    <row r="6" spans="1:9" ht="24.75" customHeight="1" x14ac:dyDescent="0.25">
      <c r="A6" s="78" t="s">
        <v>135</v>
      </c>
      <c r="B6" s="79">
        <f>B5-B4</f>
        <v>1857</v>
      </c>
      <c r="C6" s="79">
        <f>C5-C4</f>
        <v>1857</v>
      </c>
      <c r="D6" s="4">
        <f t="shared" si="0"/>
        <v>1857</v>
      </c>
      <c r="F6" s="78" t="s">
        <v>135</v>
      </c>
      <c r="G6" s="79">
        <f>G5-G4</f>
        <v>1857</v>
      </c>
      <c r="H6" s="79">
        <f>H5-H4</f>
        <v>1857</v>
      </c>
      <c r="I6" s="4">
        <f t="shared" si="1"/>
        <v>1857</v>
      </c>
    </row>
    <row r="7" spans="1:9" ht="24.75" customHeight="1" x14ac:dyDescent="0.25">
      <c r="A7" s="78" t="s">
        <v>120</v>
      </c>
      <c r="B7" s="79">
        <v>6118</v>
      </c>
      <c r="C7" s="79">
        <v>6124</v>
      </c>
      <c r="D7" s="4">
        <f t="shared" si="0"/>
        <v>6121</v>
      </c>
      <c r="F7" s="78" t="s">
        <v>124</v>
      </c>
      <c r="G7" s="79">
        <v>6374</v>
      </c>
      <c r="H7" s="79">
        <v>6388</v>
      </c>
      <c r="I7" s="4">
        <f t="shared" si="1"/>
        <v>6381</v>
      </c>
    </row>
    <row r="8" spans="1:9" ht="24.75" customHeight="1" x14ac:dyDescent="0.25">
      <c r="A8" s="78" t="s">
        <v>121</v>
      </c>
      <c r="B8" s="79">
        <f>B7-B4</f>
        <v>2755</v>
      </c>
      <c r="C8" s="79">
        <f>C7-C4</f>
        <v>2761</v>
      </c>
      <c r="D8" s="4">
        <f t="shared" si="0"/>
        <v>2758</v>
      </c>
      <c r="F8" s="78" t="s">
        <v>125</v>
      </c>
      <c r="G8" s="79">
        <f>G7-G4</f>
        <v>3011</v>
      </c>
      <c r="H8" s="79">
        <f>H7-H4</f>
        <v>3025</v>
      </c>
      <c r="I8" s="4">
        <f t="shared" si="1"/>
        <v>3018</v>
      </c>
    </row>
    <row r="9" spans="1:9" ht="24.75" customHeight="1" x14ac:dyDescent="0.25">
      <c r="A9" s="99" t="s">
        <v>122</v>
      </c>
      <c r="B9" s="100">
        <f>B8/B6</f>
        <v>1.4835756596661283</v>
      </c>
      <c r="C9" s="100">
        <f>C8/C6</f>
        <v>1.4868066774367259</v>
      </c>
      <c r="D9" s="101">
        <f t="shared" si="0"/>
        <v>1.485191168551427</v>
      </c>
      <c r="F9" s="99" t="s">
        <v>122</v>
      </c>
      <c r="G9" s="100">
        <f>G8/G6</f>
        <v>1.6214324178782984</v>
      </c>
      <c r="H9" s="100">
        <f>H8/H6</f>
        <v>1.6289714593430265</v>
      </c>
      <c r="I9" s="101">
        <f t="shared" si="1"/>
        <v>1.6252019386106624</v>
      </c>
    </row>
    <row r="10" spans="1:9" ht="24.75" customHeight="1" x14ac:dyDescent="0.25">
      <c r="A10" s="97"/>
      <c r="B10" s="98"/>
      <c r="C10" s="98"/>
    </row>
    <row r="11" spans="1:9" ht="24.75" customHeight="1" x14ac:dyDescent="0.25"/>
    <row r="12" spans="1:9" ht="24.75" customHeight="1" x14ac:dyDescent="0.25"/>
    <row r="13" spans="1:9" ht="24.75" customHeight="1" x14ac:dyDescent="0.25"/>
    <row r="14" spans="1:9" ht="24.75" customHeight="1" x14ac:dyDescent="0.25"/>
    <row r="15" spans="1:9" ht="24.75" customHeight="1" x14ac:dyDescent="0.25"/>
    <row r="16" spans="1:9" ht="24.75" customHeight="1" x14ac:dyDescent="0.25"/>
  </sheetData>
  <mergeCells count="1">
    <mergeCell ref="A2:C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7173-31F7-41B4-8208-BD6B101DE220}">
  <dimension ref="A1:G33"/>
  <sheetViews>
    <sheetView workbookViewId="0">
      <selection activeCell="B6" sqref="B6:D17"/>
    </sheetView>
  </sheetViews>
  <sheetFormatPr defaultRowHeight="15.75" x14ac:dyDescent="0.25"/>
  <sheetData>
    <row r="1" spans="1:7" x14ac:dyDescent="0.25">
      <c r="A1" s="74"/>
      <c r="B1" s="121" t="s">
        <v>126</v>
      </c>
      <c r="C1" s="121"/>
      <c r="D1" s="121"/>
      <c r="E1" s="74"/>
      <c r="F1" s="74"/>
      <c r="G1" s="74"/>
    </row>
    <row r="2" spans="1:7" x14ac:dyDescent="0.25">
      <c r="A2" s="122" t="s">
        <v>118</v>
      </c>
      <c r="B2" s="122"/>
      <c r="C2" s="93">
        <v>1535</v>
      </c>
      <c r="D2" s="75" t="s">
        <v>78</v>
      </c>
      <c r="E2" s="74"/>
      <c r="F2" s="74"/>
      <c r="G2" s="74"/>
    </row>
    <row r="3" spans="1:7" x14ac:dyDescent="0.25">
      <c r="A3" s="122" t="s">
        <v>127</v>
      </c>
      <c r="B3" s="122"/>
      <c r="C3" s="93">
        <v>3633</v>
      </c>
      <c r="D3" s="75" t="s">
        <v>78</v>
      </c>
      <c r="E3" s="74"/>
      <c r="F3" s="74"/>
      <c r="G3" s="74"/>
    </row>
    <row r="4" spans="1:7" x14ac:dyDescent="0.25">
      <c r="A4" s="121" t="s">
        <v>128</v>
      </c>
      <c r="B4" s="121"/>
      <c r="C4" s="93">
        <f>C3-C2</f>
        <v>2098</v>
      </c>
      <c r="D4" s="75" t="s">
        <v>129</v>
      </c>
      <c r="E4" s="74"/>
      <c r="F4" s="74"/>
      <c r="G4" s="74"/>
    </row>
    <row r="5" spans="1:7" x14ac:dyDescent="0.25">
      <c r="A5" s="74"/>
      <c r="B5" s="74"/>
      <c r="C5" s="74"/>
      <c r="D5" s="74"/>
      <c r="E5" s="74"/>
      <c r="F5" s="74"/>
      <c r="G5" s="74"/>
    </row>
    <row r="6" spans="1:7" x14ac:dyDescent="0.25">
      <c r="A6" s="74"/>
      <c r="B6" s="77" t="s">
        <v>130</v>
      </c>
      <c r="C6" s="77" t="s">
        <v>131</v>
      </c>
      <c r="D6" s="77" t="s">
        <v>132</v>
      </c>
      <c r="E6" s="74"/>
      <c r="F6" s="74"/>
      <c r="G6" s="74"/>
    </row>
    <row r="7" spans="1:7" x14ac:dyDescent="0.25">
      <c r="A7" s="74"/>
      <c r="B7" s="77">
        <v>0</v>
      </c>
      <c r="C7" s="77">
        <v>3136</v>
      </c>
      <c r="D7" s="94">
        <f t="shared" ref="D7:D17" si="0">C7/$C$4</f>
        <v>1.4947569113441372</v>
      </c>
      <c r="E7" s="74"/>
      <c r="F7" s="74"/>
      <c r="G7" s="74"/>
    </row>
    <row r="8" spans="1:7" x14ac:dyDescent="0.25">
      <c r="A8" s="74"/>
      <c r="B8" s="77">
        <v>5</v>
      </c>
      <c r="C8" s="77">
        <v>3165</v>
      </c>
      <c r="D8" s="94">
        <f t="shared" si="0"/>
        <v>1.5085795996186844</v>
      </c>
      <c r="E8" s="74"/>
      <c r="F8" s="74"/>
      <c r="G8" s="74"/>
    </row>
    <row r="9" spans="1:7" x14ac:dyDescent="0.25">
      <c r="A9" s="74"/>
      <c r="B9" s="77">
        <v>10</v>
      </c>
      <c r="C9" s="77">
        <v>3298</v>
      </c>
      <c r="D9" s="94">
        <f t="shared" si="0"/>
        <v>1.5719733079122975</v>
      </c>
      <c r="E9" s="74"/>
      <c r="F9" s="74"/>
      <c r="G9" s="74"/>
    </row>
    <row r="10" spans="1:7" x14ac:dyDescent="0.25">
      <c r="A10" s="74"/>
      <c r="B10" s="77">
        <v>15</v>
      </c>
      <c r="C10" s="77">
        <v>3489</v>
      </c>
      <c r="D10" s="94">
        <f t="shared" si="0"/>
        <v>1.6630123927550047</v>
      </c>
      <c r="E10" s="74"/>
      <c r="F10" s="74"/>
      <c r="G10" s="74"/>
    </row>
    <row r="11" spans="1:7" x14ac:dyDescent="0.25">
      <c r="A11" s="74"/>
      <c r="B11" s="77">
        <v>20</v>
      </c>
      <c r="C11" s="77">
        <v>3497</v>
      </c>
      <c r="D11" s="94">
        <f t="shared" si="0"/>
        <v>1.6668255481410867</v>
      </c>
      <c r="E11" s="74"/>
      <c r="F11" s="74"/>
      <c r="G11" s="74"/>
    </row>
    <row r="12" spans="1:7" x14ac:dyDescent="0.25">
      <c r="A12" s="74"/>
      <c r="B12" s="77">
        <v>25</v>
      </c>
      <c r="C12" s="77">
        <v>3655</v>
      </c>
      <c r="D12" s="94">
        <f t="shared" si="0"/>
        <v>1.7421353670162059</v>
      </c>
      <c r="E12" s="74"/>
      <c r="F12" s="74"/>
      <c r="G12" s="74"/>
    </row>
    <row r="13" spans="1:7" x14ac:dyDescent="0.25">
      <c r="A13" s="74"/>
      <c r="B13" s="77">
        <v>30</v>
      </c>
      <c r="C13" s="77">
        <v>3751</v>
      </c>
      <c r="D13" s="94">
        <f t="shared" si="0"/>
        <v>1.7878932316491898</v>
      </c>
      <c r="E13" s="74"/>
      <c r="F13" s="74"/>
      <c r="G13" s="74"/>
    </row>
    <row r="14" spans="1:7" x14ac:dyDescent="0.25">
      <c r="A14" s="74"/>
      <c r="B14" s="77">
        <v>35</v>
      </c>
      <c r="C14" s="77">
        <v>3769</v>
      </c>
      <c r="D14" s="94">
        <f t="shared" si="0"/>
        <v>1.7964728312678742</v>
      </c>
      <c r="E14" s="74"/>
      <c r="F14" s="74"/>
      <c r="G14" s="74"/>
    </row>
    <row r="15" spans="1:7" x14ac:dyDescent="0.25">
      <c r="A15" s="74"/>
      <c r="B15" s="77">
        <v>40</v>
      </c>
      <c r="C15" s="77">
        <v>3769</v>
      </c>
      <c r="D15" s="94">
        <f t="shared" si="0"/>
        <v>1.7964728312678742</v>
      </c>
      <c r="E15" s="74"/>
      <c r="F15" s="74"/>
      <c r="G15" s="74"/>
    </row>
    <row r="16" spans="1:7" x14ac:dyDescent="0.25">
      <c r="A16" s="74"/>
      <c r="B16" s="77">
        <v>45</v>
      </c>
      <c r="C16" s="77">
        <v>3759</v>
      </c>
      <c r="D16" s="94">
        <f t="shared" si="0"/>
        <v>1.7917063870352716</v>
      </c>
      <c r="E16" s="74"/>
      <c r="F16" s="74"/>
      <c r="G16" s="74"/>
    </row>
    <row r="17" spans="1:7" x14ac:dyDescent="0.25">
      <c r="A17" s="74"/>
      <c r="B17" s="77">
        <v>50</v>
      </c>
      <c r="C17" s="77">
        <v>3694</v>
      </c>
      <c r="D17" s="94">
        <f t="shared" si="0"/>
        <v>1.7607244995233555</v>
      </c>
      <c r="E17" s="74"/>
      <c r="F17" s="74"/>
      <c r="G17" s="74"/>
    </row>
    <row r="18" spans="1:7" x14ac:dyDescent="0.25">
      <c r="A18" s="74"/>
      <c r="B18" s="74"/>
      <c r="C18" s="74"/>
      <c r="D18" s="74"/>
      <c r="E18" s="74"/>
      <c r="F18" s="74"/>
      <c r="G18" s="74"/>
    </row>
    <row r="19" spans="1:7" x14ac:dyDescent="0.25">
      <c r="A19" s="74"/>
      <c r="B19" s="74"/>
      <c r="C19" s="74"/>
      <c r="D19" s="74"/>
      <c r="E19" s="74"/>
      <c r="F19" s="74"/>
      <c r="G19" s="74"/>
    </row>
    <row r="20" spans="1:7" x14ac:dyDescent="0.25">
      <c r="A20" s="74"/>
      <c r="B20" s="74"/>
      <c r="C20" s="74"/>
      <c r="D20" s="74"/>
      <c r="E20" s="74"/>
      <c r="F20" s="74"/>
      <c r="G20" s="74"/>
    </row>
    <row r="21" spans="1:7" x14ac:dyDescent="0.25">
      <c r="A21" s="74"/>
      <c r="B21" s="74"/>
      <c r="C21" s="74"/>
      <c r="D21" s="74"/>
      <c r="E21" s="74"/>
      <c r="F21" s="74"/>
      <c r="G21" s="74"/>
    </row>
    <row r="22" spans="1:7" x14ac:dyDescent="0.25">
      <c r="A22" s="74"/>
      <c r="B22" s="74"/>
      <c r="C22" s="74"/>
      <c r="D22" s="74"/>
      <c r="E22" s="74"/>
      <c r="F22" s="74"/>
      <c r="G22" s="74"/>
    </row>
    <row r="23" spans="1:7" x14ac:dyDescent="0.25">
      <c r="A23" s="74"/>
      <c r="B23" s="74"/>
      <c r="C23" s="74"/>
      <c r="D23" s="74"/>
      <c r="E23" s="74"/>
      <c r="F23" s="74"/>
      <c r="G23" s="74"/>
    </row>
    <row r="24" spans="1:7" x14ac:dyDescent="0.25">
      <c r="A24" s="74"/>
      <c r="B24" s="74"/>
      <c r="C24" s="74"/>
      <c r="D24" s="74"/>
      <c r="E24" s="74"/>
      <c r="F24" s="74"/>
      <c r="G24" s="74"/>
    </row>
    <row r="25" spans="1:7" x14ac:dyDescent="0.25">
      <c r="A25" s="74"/>
      <c r="B25" s="74"/>
      <c r="C25" s="74"/>
      <c r="D25" s="74"/>
      <c r="E25" s="74"/>
      <c r="F25" s="74"/>
      <c r="G25" s="74"/>
    </row>
    <row r="26" spans="1:7" x14ac:dyDescent="0.25">
      <c r="A26" s="74"/>
      <c r="B26" s="74"/>
      <c r="C26" s="74"/>
      <c r="D26" s="74"/>
      <c r="E26" s="74"/>
      <c r="F26" s="74"/>
      <c r="G26" s="74"/>
    </row>
    <row r="27" spans="1:7" x14ac:dyDescent="0.25">
      <c r="A27" s="74"/>
      <c r="B27" s="74"/>
      <c r="C27" s="74"/>
      <c r="D27" s="74"/>
      <c r="E27" s="74"/>
      <c r="F27" s="74"/>
      <c r="G27" s="74"/>
    </row>
    <row r="28" spans="1:7" x14ac:dyDescent="0.25">
      <c r="A28" s="74"/>
      <c r="B28" s="74"/>
      <c r="C28" s="74"/>
      <c r="D28" s="74"/>
      <c r="E28" s="74"/>
      <c r="F28" s="74"/>
      <c r="G28" s="74"/>
    </row>
    <row r="29" spans="1:7" x14ac:dyDescent="0.25">
      <c r="A29" s="74"/>
      <c r="B29" s="74"/>
      <c r="C29" s="74"/>
      <c r="D29" s="74"/>
      <c r="E29" s="74"/>
      <c r="F29" s="74"/>
      <c r="G29" s="74"/>
    </row>
    <row r="30" spans="1:7" x14ac:dyDescent="0.25">
      <c r="A30" s="74"/>
      <c r="B30" s="74"/>
      <c r="C30" s="74"/>
      <c r="D30" s="74"/>
      <c r="E30" s="74"/>
      <c r="F30" s="74"/>
      <c r="G30" s="74"/>
    </row>
    <row r="31" spans="1:7" x14ac:dyDescent="0.25">
      <c r="A31" s="74"/>
      <c r="B31" s="74"/>
      <c r="C31" s="74"/>
      <c r="D31" s="74"/>
      <c r="E31" s="74"/>
      <c r="F31" s="74"/>
      <c r="G31" s="74"/>
    </row>
    <row r="32" spans="1:7" x14ac:dyDescent="0.25">
      <c r="A32" s="74"/>
      <c r="B32" s="74"/>
      <c r="C32" s="74"/>
      <c r="D32" s="74"/>
      <c r="E32" s="74"/>
      <c r="F32" s="74"/>
      <c r="G32" s="74"/>
    </row>
    <row r="33" spans="1:7" x14ac:dyDescent="0.25">
      <c r="A33" s="74"/>
      <c r="B33" s="74"/>
      <c r="C33" s="74"/>
      <c r="D33" s="74"/>
      <c r="E33" s="74"/>
      <c r="F33" s="74"/>
      <c r="G33" s="74"/>
    </row>
  </sheetData>
  <mergeCells count="4">
    <mergeCell ref="B1:D1"/>
    <mergeCell ref="A2:B2"/>
    <mergeCell ref="A3:B3"/>
    <mergeCell ref="A4:B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4FA0A-A12F-4FC3-93F0-AAD1A29DCCC4}">
  <dimension ref="A1:H20"/>
  <sheetViews>
    <sheetView topLeftCell="A4" workbookViewId="0">
      <selection activeCell="G6" sqref="G6"/>
    </sheetView>
  </sheetViews>
  <sheetFormatPr defaultRowHeight="15.75" x14ac:dyDescent="0.25"/>
  <cols>
    <col min="1" max="1" width="18.875" customWidth="1"/>
    <col min="8" max="8" width="15.5" customWidth="1"/>
    <col min="9" max="12" width="9.875" customWidth="1"/>
  </cols>
  <sheetData>
    <row r="1" spans="1:8" ht="26.25" customHeight="1" thickBot="1" x14ac:dyDescent="0.3">
      <c r="A1" s="27" t="s">
        <v>49</v>
      </c>
      <c r="B1" s="1" t="s">
        <v>95</v>
      </c>
    </row>
    <row r="2" spans="1:8" ht="16.5" thickBot="1" x14ac:dyDescent="0.3">
      <c r="A2" s="28" t="s">
        <v>43</v>
      </c>
      <c r="B2" s="39">
        <v>1</v>
      </c>
      <c r="C2" s="39">
        <v>2</v>
      </c>
      <c r="D2" s="39">
        <v>3</v>
      </c>
      <c r="E2" s="39" t="s">
        <v>50</v>
      </c>
    </row>
    <row r="3" spans="1:8" ht="30" x14ac:dyDescent="0.25">
      <c r="A3" s="38" t="s">
        <v>70</v>
      </c>
      <c r="B3" s="40">
        <v>500</v>
      </c>
      <c r="C3" s="40">
        <v>500</v>
      </c>
      <c r="D3" s="40">
        <v>500</v>
      </c>
      <c r="E3" s="41"/>
    </row>
    <row r="4" spans="1:8" ht="30.75" thickBot="1" x14ac:dyDescent="0.3">
      <c r="A4" s="30" t="s">
        <v>71</v>
      </c>
      <c r="B4" s="37">
        <v>473</v>
      </c>
      <c r="C4" s="37">
        <v>472</v>
      </c>
      <c r="D4" s="37">
        <v>474</v>
      </c>
      <c r="E4" s="41"/>
    </row>
    <row r="5" spans="1:8" ht="30.75" thickBot="1" x14ac:dyDescent="0.3">
      <c r="A5" s="30" t="s">
        <v>51</v>
      </c>
      <c r="B5" s="37">
        <v>26</v>
      </c>
      <c r="C5" s="37">
        <v>27</v>
      </c>
      <c r="D5" s="37">
        <v>25</v>
      </c>
      <c r="E5" s="41"/>
    </row>
    <row r="6" spans="1:8" ht="25.5" customHeight="1" thickBot="1" x14ac:dyDescent="0.3">
      <c r="A6" s="30" t="s">
        <v>52</v>
      </c>
      <c r="B6" s="37">
        <f>B3-(B4+B5)</f>
        <v>1</v>
      </c>
      <c r="C6" s="37">
        <f>C3-(C4+C5)</f>
        <v>1</v>
      </c>
      <c r="D6" s="37">
        <f>D3-(D4+D5)</f>
        <v>1</v>
      </c>
      <c r="E6" s="41"/>
    </row>
    <row r="7" spans="1:8" ht="39.75" customHeight="1" thickBot="1" x14ac:dyDescent="0.3">
      <c r="A7" s="30" t="s">
        <v>53</v>
      </c>
      <c r="B7" s="42">
        <f>B5/B3</f>
        <v>5.1999999999999998E-2</v>
      </c>
      <c r="C7" s="42">
        <f>C5/C3</f>
        <v>5.3999999999999999E-2</v>
      </c>
      <c r="D7" s="42">
        <f>D5/D3</f>
        <v>0.05</v>
      </c>
      <c r="E7" s="42">
        <f>AVERAGE(B7:D7)</f>
        <v>5.1999999999999998E-2</v>
      </c>
    </row>
    <row r="9" spans="1:8" ht="138.75" customHeight="1" x14ac:dyDescent="0.25"/>
    <row r="10" spans="1:8" x14ac:dyDescent="0.25">
      <c r="A10" s="27" t="s">
        <v>91</v>
      </c>
      <c r="C10" s="32"/>
    </row>
    <row r="11" spans="1:8" ht="16.5" thickBot="1" x14ac:dyDescent="0.3">
      <c r="A11" s="27" t="s">
        <v>49</v>
      </c>
    </row>
    <row r="12" spans="1:8" ht="16.5" thickBot="1" x14ac:dyDescent="0.3">
      <c r="A12" s="28" t="s">
        <v>43</v>
      </c>
      <c r="B12" s="29">
        <v>1</v>
      </c>
      <c r="C12" s="29">
        <v>2</v>
      </c>
      <c r="D12" s="29">
        <v>3</v>
      </c>
      <c r="E12" s="29" t="s">
        <v>50</v>
      </c>
      <c r="H12" s="27"/>
    </row>
    <row r="13" spans="1:8" x14ac:dyDescent="0.25">
      <c r="A13" s="123" t="s">
        <v>92</v>
      </c>
      <c r="B13" s="123" t="s">
        <v>93</v>
      </c>
      <c r="C13" s="123" t="s">
        <v>93</v>
      </c>
      <c r="D13" s="123" t="s">
        <v>93</v>
      </c>
      <c r="E13" s="72"/>
    </row>
    <row r="14" spans="1:8" x14ac:dyDescent="0.25">
      <c r="A14" s="124"/>
      <c r="B14" s="124"/>
      <c r="C14" s="124"/>
      <c r="D14" s="124"/>
      <c r="E14" s="72"/>
    </row>
    <row r="15" spans="1:8" x14ac:dyDescent="0.25">
      <c r="A15" s="124"/>
      <c r="B15" s="124"/>
      <c r="C15" s="124"/>
      <c r="D15" s="124"/>
      <c r="E15" s="72"/>
    </row>
    <row r="16" spans="1:8" ht="16.5" thickBot="1" x14ac:dyDescent="0.3">
      <c r="A16" s="125"/>
      <c r="B16" s="125"/>
      <c r="C16" s="125"/>
      <c r="D16" s="125"/>
      <c r="E16" s="72"/>
    </row>
    <row r="17" spans="1:5" ht="30.75" thickBot="1" x14ac:dyDescent="0.3">
      <c r="A17" s="30" t="s">
        <v>94</v>
      </c>
      <c r="B17" s="31">
        <v>473</v>
      </c>
      <c r="C17" s="31">
        <v>475</v>
      </c>
      <c r="D17" s="31">
        <v>472</v>
      </c>
      <c r="E17" s="72"/>
    </row>
    <row r="18" spans="1:5" ht="30.75" thickBot="1" x14ac:dyDescent="0.3">
      <c r="A18" s="30" t="s">
        <v>51</v>
      </c>
      <c r="B18" s="31">
        <v>26</v>
      </c>
      <c r="C18" s="31">
        <v>24</v>
      </c>
      <c r="D18" s="31">
        <v>27</v>
      </c>
      <c r="E18" s="72"/>
    </row>
    <row r="19" spans="1:5" ht="16.5" thickBot="1" x14ac:dyDescent="0.3">
      <c r="A19" s="30" t="s">
        <v>52</v>
      </c>
      <c r="B19" s="31">
        <v>1</v>
      </c>
      <c r="C19" s="31">
        <v>1</v>
      </c>
      <c r="D19" s="31">
        <v>1</v>
      </c>
      <c r="E19" s="72"/>
    </row>
    <row r="20" spans="1:5" ht="16.5" thickBot="1" x14ac:dyDescent="0.3">
      <c r="A20" s="30" t="s">
        <v>53</v>
      </c>
      <c r="B20" s="31"/>
      <c r="C20" s="31"/>
      <c r="D20" s="31"/>
      <c r="E20" s="73">
        <v>5.1299999999999998E-2</v>
      </c>
    </row>
  </sheetData>
  <mergeCells count="4">
    <mergeCell ref="A13:A16"/>
    <mergeCell ref="B13:B16"/>
    <mergeCell ref="C13:C16"/>
    <mergeCell ref="D13:D1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EFFE8-17CC-4C0F-9410-4F2B779E8E4E}">
  <dimension ref="A1:E23"/>
  <sheetViews>
    <sheetView workbookViewId="0">
      <selection activeCell="A2" sqref="A2:D7"/>
    </sheetView>
  </sheetViews>
  <sheetFormatPr defaultRowHeight="15.75" x14ac:dyDescent="0.25"/>
  <cols>
    <col min="1" max="1" width="32.25" bestFit="1" customWidth="1"/>
    <col min="2" max="2" width="10.125" bestFit="1" customWidth="1"/>
  </cols>
  <sheetData>
    <row r="1" spans="1:4" ht="27.75" customHeight="1" thickBot="1" x14ac:dyDescent="0.3">
      <c r="A1" s="27" t="s">
        <v>54</v>
      </c>
      <c r="B1" t="s">
        <v>95</v>
      </c>
    </row>
    <row r="2" spans="1:4" ht="16.5" thickBot="1" x14ac:dyDescent="0.3">
      <c r="A2" s="28" t="s">
        <v>43</v>
      </c>
      <c r="B2" s="39">
        <v>1</v>
      </c>
      <c r="C2" s="39">
        <v>2</v>
      </c>
      <c r="D2" s="39" t="s">
        <v>50</v>
      </c>
    </row>
    <row r="3" spans="1:4" x14ac:dyDescent="0.25">
      <c r="A3" s="38" t="s">
        <v>70</v>
      </c>
      <c r="B3" s="40">
        <v>2488</v>
      </c>
      <c r="C3" s="40">
        <v>2533</v>
      </c>
      <c r="D3" s="41"/>
    </row>
    <row r="4" spans="1:4" ht="16.5" thickBot="1" x14ac:dyDescent="0.3">
      <c r="A4" s="30" t="s">
        <v>72</v>
      </c>
      <c r="B4" s="37">
        <v>2144</v>
      </c>
      <c r="C4" s="37">
        <v>2173</v>
      </c>
      <c r="D4" s="41"/>
    </row>
    <row r="5" spans="1:4" ht="16.5" thickBot="1" x14ac:dyDescent="0.3">
      <c r="A5" s="30" t="s">
        <v>55</v>
      </c>
      <c r="B5" s="37">
        <v>343</v>
      </c>
      <c r="C5" s="37">
        <v>358</v>
      </c>
      <c r="D5" s="41"/>
    </row>
    <row r="6" spans="1:4" ht="16.5" thickBot="1" x14ac:dyDescent="0.3">
      <c r="A6" s="30" t="s">
        <v>52</v>
      </c>
      <c r="B6" s="37">
        <f>B3-(B4+B5)</f>
        <v>1</v>
      </c>
      <c r="C6" s="37">
        <f>C3-(C4+C5)</f>
        <v>2</v>
      </c>
      <c r="D6" s="41"/>
    </row>
    <row r="7" spans="1:4" ht="16.5" thickBot="1" x14ac:dyDescent="0.3">
      <c r="A7" s="30" t="s">
        <v>53</v>
      </c>
      <c r="B7" s="42">
        <f>(B5/B3)</f>
        <v>0.13786173633440515</v>
      </c>
      <c r="C7" s="42">
        <f>(C5/C3)</f>
        <v>0.14133438610343466</v>
      </c>
      <c r="D7" s="42">
        <f>AVERAGE(B7:C7)</f>
        <v>0.13959806121891991</v>
      </c>
    </row>
    <row r="8" spans="1:4" x14ac:dyDescent="0.25">
      <c r="A8" s="27"/>
    </row>
    <row r="15" spans="1:4" x14ac:dyDescent="0.25">
      <c r="A15" t="s">
        <v>91</v>
      </c>
    </row>
    <row r="16" spans="1:4" ht="16.5" thickBot="1" x14ac:dyDescent="0.3">
      <c r="A16" s="27" t="s">
        <v>54</v>
      </c>
    </row>
    <row r="17" spans="1:5" ht="16.5" thickBot="1" x14ac:dyDescent="0.3">
      <c r="A17" s="28" t="s">
        <v>43</v>
      </c>
      <c r="B17" s="29">
        <v>1</v>
      </c>
      <c r="C17" s="29">
        <v>2</v>
      </c>
      <c r="D17" s="29">
        <v>3</v>
      </c>
      <c r="E17" s="29" t="s">
        <v>50</v>
      </c>
    </row>
    <row r="18" spans="1:5" x14ac:dyDescent="0.25">
      <c r="A18" s="38" t="s">
        <v>92</v>
      </c>
      <c r="B18" s="40" t="s">
        <v>96</v>
      </c>
      <c r="C18" s="40" t="s">
        <v>97</v>
      </c>
      <c r="D18" s="40" t="s">
        <v>98</v>
      </c>
      <c r="E18" s="41"/>
    </row>
    <row r="19" spans="1:5" ht="16.5" thickBot="1" x14ac:dyDescent="0.3">
      <c r="A19" s="30" t="s">
        <v>99</v>
      </c>
      <c r="B19" s="37" t="s">
        <v>100</v>
      </c>
      <c r="C19" s="37">
        <v>2692.4</v>
      </c>
      <c r="D19" s="37">
        <v>2673.2</v>
      </c>
      <c r="E19" s="41"/>
    </row>
    <row r="20" spans="1:5" ht="16.5" thickBot="1" x14ac:dyDescent="0.3">
      <c r="A20" s="30" t="s">
        <v>55</v>
      </c>
      <c r="B20" s="37">
        <v>114.1</v>
      </c>
      <c r="C20" s="37">
        <v>115.8</v>
      </c>
      <c r="D20" s="37">
        <v>114.3</v>
      </c>
      <c r="E20" s="41"/>
    </row>
    <row r="21" spans="1:5" ht="16.5" thickBot="1" x14ac:dyDescent="0.3">
      <c r="A21" s="30" t="s">
        <v>52</v>
      </c>
      <c r="B21" s="37">
        <v>2</v>
      </c>
      <c r="C21" s="37">
        <v>1.8</v>
      </c>
      <c r="D21" s="37">
        <v>1.5</v>
      </c>
      <c r="E21" s="41"/>
    </row>
    <row r="22" spans="1:5" ht="16.5" thickBot="1" x14ac:dyDescent="0.3">
      <c r="A22" s="30" t="s">
        <v>53</v>
      </c>
      <c r="B22" s="37"/>
      <c r="C22" s="37"/>
      <c r="D22" s="37"/>
      <c r="E22" s="42">
        <v>4.1000000000000002E-2</v>
      </c>
    </row>
    <row r="23" spans="1:5" x14ac:dyDescent="0.25">
      <c r="A23" s="2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9FAA6-C44C-404F-A780-7C0FAB2C7C0A}">
  <dimension ref="A1:Q68"/>
  <sheetViews>
    <sheetView topLeftCell="D32" zoomScale="55" zoomScaleNormal="55" workbookViewId="0">
      <selection activeCell="I14" sqref="I14"/>
    </sheetView>
  </sheetViews>
  <sheetFormatPr defaultRowHeight="15.75" x14ac:dyDescent="0.25"/>
  <cols>
    <col min="1" max="2" width="11.875" customWidth="1"/>
    <col min="3" max="4" width="20.25" customWidth="1"/>
    <col min="5" max="6" width="11.875" customWidth="1"/>
    <col min="7" max="8" width="21.75" customWidth="1"/>
    <col min="9" max="9" width="12.375" customWidth="1"/>
    <col min="10" max="10" width="11.875" customWidth="1"/>
    <col min="11" max="12" width="19.125" customWidth="1"/>
    <col min="13" max="14" width="11.875" customWidth="1"/>
    <col min="26" max="32" width="18.25" customWidth="1"/>
  </cols>
  <sheetData>
    <row r="1" spans="1:14" x14ac:dyDescent="0.25">
      <c r="A1" s="33" t="s">
        <v>56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</row>
    <row r="2" spans="1:14" ht="16.5" thickBot="1" x14ac:dyDescent="0.3">
      <c r="A2" s="33" t="s">
        <v>57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</row>
    <row r="3" spans="1:14" ht="34.5" customHeight="1" thickBot="1" x14ac:dyDescent="0.3">
      <c r="A3" s="35" t="s">
        <v>58</v>
      </c>
      <c r="B3" s="126" t="s">
        <v>59</v>
      </c>
      <c r="C3" s="127"/>
      <c r="D3" s="127"/>
      <c r="E3" s="127"/>
      <c r="F3" s="128"/>
      <c r="G3" s="126" t="s">
        <v>60</v>
      </c>
      <c r="H3" s="127"/>
      <c r="I3" s="127"/>
      <c r="J3" s="128"/>
      <c r="K3" s="126" t="s">
        <v>61</v>
      </c>
      <c r="L3" s="127"/>
      <c r="M3" s="127"/>
      <c r="N3" s="128"/>
    </row>
    <row r="4" spans="1:14" ht="34.5" customHeight="1" thickBot="1" x14ac:dyDescent="0.3">
      <c r="A4" s="36" t="s">
        <v>62</v>
      </c>
      <c r="B4" s="37" t="s">
        <v>63</v>
      </c>
      <c r="C4" s="37" t="s">
        <v>64</v>
      </c>
      <c r="D4" s="37" t="s">
        <v>79</v>
      </c>
      <c r="E4" s="37" t="s">
        <v>65</v>
      </c>
      <c r="F4" s="37" t="s">
        <v>66</v>
      </c>
      <c r="G4" s="37" t="s">
        <v>64</v>
      </c>
      <c r="H4" s="37" t="s">
        <v>79</v>
      </c>
      <c r="I4" s="37" t="s">
        <v>65</v>
      </c>
      <c r="J4" s="37" t="s">
        <v>66</v>
      </c>
      <c r="K4" s="37" t="s">
        <v>64</v>
      </c>
      <c r="L4" s="37" t="s">
        <v>79</v>
      </c>
      <c r="M4" s="37" t="s">
        <v>65</v>
      </c>
      <c r="N4" s="37" t="s">
        <v>66</v>
      </c>
    </row>
    <row r="5" spans="1:14" ht="34.5" customHeight="1" thickBot="1" x14ac:dyDescent="0.3">
      <c r="A5" s="36">
        <v>5</v>
      </c>
      <c r="B5" s="37">
        <v>831</v>
      </c>
      <c r="C5" s="37">
        <v>849</v>
      </c>
      <c r="D5" s="37">
        <f>C5-B5</f>
        <v>18</v>
      </c>
      <c r="E5" s="43">
        <f>(D5/$D$12)*100</f>
        <v>0.90180360721442887</v>
      </c>
      <c r="F5" s="59">
        <f>$E$12-E5</f>
        <v>99.098196392785567</v>
      </c>
      <c r="G5" s="37">
        <v>852</v>
      </c>
      <c r="H5" s="37">
        <f>G5-B5</f>
        <v>21</v>
      </c>
      <c r="I5" s="43">
        <f>(H5/$H$12)*100</f>
        <v>1.0510510510510511</v>
      </c>
      <c r="J5" s="59">
        <f>$I$12-I5</f>
        <v>98.948948948948953</v>
      </c>
      <c r="K5" s="37">
        <v>860</v>
      </c>
      <c r="L5" s="37">
        <f>K5-B5</f>
        <v>29</v>
      </c>
      <c r="M5" s="43">
        <f>(L5/$L$12)*100</f>
        <v>1.4514514514514516</v>
      </c>
      <c r="N5" s="59">
        <f>$M$12-M5</f>
        <v>98.548548548548553</v>
      </c>
    </row>
    <row r="6" spans="1:14" ht="34.5" customHeight="1" thickBot="1" x14ac:dyDescent="0.3">
      <c r="A6" s="36">
        <v>2.36</v>
      </c>
      <c r="B6" s="37">
        <v>808</v>
      </c>
      <c r="C6" s="37">
        <v>886</v>
      </c>
      <c r="D6" s="37">
        <f t="shared" ref="D6:D12" si="0">D5+C6-B6</f>
        <v>96</v>
      </c>
      <c r="E6" s="43">
        <f t="shared" ref="E6:E12" si="1">(D6/$D$12)*100</f>
        <v>4.8096192384769543</v>
      </c>
      <c r="F6" s="59">
        <f t="shared" ref="F6:F11" si="2">$E$12-E6</f>
        <v>95.190380761523045</v>
      </c>
      <c r="G6" s="37">
        <v>886</v>
      </c>
      <c r="H6" s="37">
        <f t="shared" ref="H6:H12" si="3">H5+G6-B6</f>
        <v>99</v>
      </c>
      <c r="I6" s="43">
        <f t="shared" ref="I6:I12" si="4">(H6/$H$12)*100</f>
        <v>4.954954954954955</v>
      </c>
      <c r="J6" s="59">
        <f t="shared" ref="J6:J12" si="5">$I$12-I6</f>
        <v>95.045045045045043</v>
      </c>
      <c r="K6" s="37">
        <v>912</v>
      </c>
      <c r="L6" s="37">
        <f t="shared" ref="L6:L12" si="6">L5+K6-B6</f>
        <v>133</v>
      </c>
      <c r="M6" s="43">
        <f t="shared" ref="M6:M12" si="7">(L6/$L$12)*100</f>
        <v>6.6566566566566561</v>
      </c>
      <c r="N6" s="59">
        <f t="shared" ref="N6:N12" si="8">$M$12-M6</f>
        <v>93.343343343343349</v>
      </c>
    </row>
    <row r="7" spans="1:14" ht="34.5" customHeight="1" thickBot="1" x14ac:dyDescent="0.3">
      <c r="A7" s="36">
        <v>1.25</v>
      </c>
      <c r="B7" s="37">
        <v>785</v>
      </c>
      <c r="C7" s="37">
        <v>1353</v>
      </c>
      <c r="D7" s="37">
        <f t="shared" si="0"/>
        <v>664</v>
      </c>
      <c r="E7" s="43">
        <f t="shared" si="1"/>
        <v>33.266533066132261</v>
      </c>
      <c r="F7" s="59">
        <f t="shared" si="2"/>
        <v>66.733466933867732</v>
      </c>
      <c r="G7" s="37">
        <v>1143</v>
      </c>
      <c r="H7" s="37">
        <f t="shared" si="3"/>
        <v>457</v>
      </c>
      <c r="I7" s="43">
        <f t="shared" si="4"/>
        <v>22.872872872872875</v>
      </c>
      <c r="J7" s="59">
        <f t="shared" si="5"/>
        <v>77.127127127127125</v>
      </c>
      <c r="K7" s="37">
        <v>1220</v>
      </c>
      <c r="L7" s="37">
        <f t="shared" si="6"/>
        <v>568</v>
      </c>
      <c r="M7" s="43">
        <f t="shared" si="7"/>
        <v>28.428428428428425</v>
      </c>
      <c r="N7" s="59">
        <f t="shared" si="8"/>
        <v>71.571571571571582</v>
      </c>
    </row>
    <row r="8" spans="1:14" ht="34.5" customHeight="1" thickBot="1" x14ac:dyDescent="0.3">
      <c r="A8" s="36">
        <v>0.6</v>
      </c>
      <c r="B8" s="37">
        <v>758</v>
      </c>
      <c r="C8" s="37">
        <v>1573</v>
      </c>
      <c r="D8" s="37">
        <f t="shared" si="0"/>
        <v>1479</v>
      </c>
      <c r="E8" s="43">
        <f t="shared" si="1"/>
        <v>74.098196392785582</v>
      </c>
      <c r="F8" s="59">
        <f t="shared" si="2"/>
        <v>25.901803607214418</v>
      </c>
      <c r="G8" s="37">
        <v>1310</v>
      </c>
      <c r="H8" s="37">
        <f t="shared" si="3"/>
        <v>1009</v>
      </c>
      <c r="I8" s="43">
        <f t="shared" si="4"/>
        <v>50.5005005005005</v>
      </c>
      <c r="J8" s="59">
        <f t="shared" si="5"/>
        <v>49.4994994994995</v>
      </c>
      <c r="K8" s="37">
        <v>1350</v>
      </c>
      <c r="L8" s="37">
        <f t="shared" si="6"/>
        <v>1160</v>
      </c>
      <c r="M8" s="43">
        <f t="shared" si="7"/>
        <v>58.058058058058059</v>
      </c>
      <c r="N8" s="59">
        <f t="shared" si="8"/>
        <v>41.941941941941941</v>
      </c>
    </row>
    <row r="9" spans="1:14" ht="34.5" customHeight="1" thickBot="1" x14ac:dyDescent="0.3">
      <c r="A9" s="36">
        <v>0.3</v>
      </c>
      <c r="B9" s="37">
        <v>709</v>
      </c>
      <c r="C9" s="37">
        <v>1132</v>
      </c>
      <c r="D9" s="37">
        <f t="shared" si="0"/>
        <v>1902</v>
      </c>
      <c r="E9" s="43">
        <f t="shared" si="1"/>
        <v>95.290581162324656</v>
      </c>
      <c r="F9" s="59">
        <f t="shared" si="2"/>
        <v>4.7094188376753436</v>
      </c>
      <c r="G9" s="37">
        <v>1443</v>
      </c>
      <c r="H9" s="37">
        <f t="shared" si="3"/>
        <v>1743</v>
      </c>
      <c r="I9" s="43">
        <f t="shared" si="4"/>
        <v>87.237237237237238</v>
      </c>
      <c r="J9" s="59">
        <f t="shared" si="5"/>
        <v>12.762762762762762</v>
      </c>
      <c r="K9" s="37">
        <v>1315</v>
      </c>
      <c r="L9" s="37">
        <f t="shared" si="6"/>
        <v>1766</v>
      </c>
      <c r="M9" s="43">
        <f t="shared" si="7"/>
        <v>88.388388388388378</v>
      </c>
      <c r="N9" s="59">
        <f t="shared" si="8"/>
        <v>11.611611611611622</v>
      </c>
    </row>
    <row r="10" spans="1:14" ht="34.5" customHeight="1" thickBot="1" x14ac:dyDescent="0.3">
      <c r="A10" s="36">
        <v>0.18</v>
      </c>
      <c r="B10" s="37">
        <v>711</v>
      </c>
      <c r="C10" s="37">
        <v>776</v>
      </c>
      <c r="D10" s="37">
        <f t="shared" si="0"/>
        <v>1967</v>
      </c>
      <c r="E10" s="43">
        <f t="shared" si="1"/>
        <v>98.547094188376747</v>
      </c>
      <c r="F10" s="59">
        <f t="shared" si="2"/>
        <v>1.4529058116232534</v>
      </c>
      <c r="G10" s="37">
        <v>877</v>
      </c>
      <c r="H10" s="37">
        <f t="shared" si="3"/>
        <v>1909</v>
      </c>
      <c r="I10" s="43">
        <f t="shared" si="4"/>
        <v>95.545545545545536</v>
      </c>
      <c r="J10" s="59">
        <f t="shared" si="5"/>
        <v>4.4544544544544635</v>
      </c>
      <c r="K10" s="37">
        <v>864</v>
      </c>
      <c r="L10" s="37">
        <f t="shared" si="6"/>
        <v>1919</v>
      </c>
      <c r="M10" s="43">
        <f t="shared" si="7"/>
        <v>96.046046046046044</v>
      </c>
      <c r="N10" s="59">
        <f t="shared" si="8"/>
        <v>3.9539539539539561</v>
      </c>
    </row>
    <row r="11" spans="1:14" ht="34.5" customHeight="1" thickBot="1" x14ac:dyDescent="0.3">
      <c r="A11" s="36">
        <v>7.4999999999999997E-2</v>
      </c>
      <c r="B11" s="37">
        <v>580</v>
      </c>
      <c r="C11" s="37">
        <v>607</v>
      </c>
      <c r="D11" s="37">
        <f t="shared" si="0"/>
        <v>1994</v>
      </c>
      <c r="E11" s="43">
        <f t="shared" si="1"/>
        <v>99.899799599198403</v>
      </c>
      <c r="F11" s="59">
        <f t="shared" si="2"/>
        <v>0.10020040080159731</v>
      </c>
      <c r="G11" s="37">
        <v>665</v>
      </c>
      <c r="H11" s="37">
        <f t="shared" si="3"/>
        <v>1994</v>
      </c>
      <c r="I11" s="43">
        <f t="shared" si="4"/>
        <v>99.7997997997998</v>
      </c>
      <c r="J11" s="59">
        <f t="shared" si="5"/>
        <v>0.20020020020020013</v>
      </c>
      <c r="K11" s="37">
        <v>653</v>
      </c>
      <c r="L11" s="37">
        <f t="shared" si="6"/>
        <v>1992</v>
      </c>
      <c r="M11" s="43">
        <f t="shared" si="7"/>
        <v>99.699699699699693</v>
      </c>
      <c r="N11" s="59">
        <f t="shared" si="8"/>
        <v>0.3003003003003073</v>
      </c>
    </row>
    <row r="12" spans="1:14" ht="34.5" customHeight="1" thickBot="1" x14ac:dyDescent="0.3">
      <c r="A12" s="36" t="s">
        <v>67</v>
      </c>
      <c r="B12" s="37">
        <v>712</v>
      </c>
      <c r="C12" s="37">
        <v>714</v>
      </c>
      <c r="D12" s="37">
        <f t="shared" si="0"/>
        <v>1996</v>
      </c>
      <c r="E12" s="43">
        <f t="shared" si="1"/>
        <v>100</v>
      </c>
      <c r="F12" s="59">
        <f>$E$12-E12</f>
        <v>0</v>
      </c>
      <c r="G12" s="37">
        <v>716</v>
      </c>
      <c r="H12" s="37">
        <f t="shared" si="3"/>
        <v>1998</v>
      </c>
      <c r="I12" s="43">
        <f t="shared" si="4"/>
        <v>100</v>
      </c>
      <c r="J12" s="59">
        <f t="shared" si="5"/>
        <v>0</v>
      </c>
      <c r="K12" s="37">
        <v>718</v>
      </c>
      <c r="L12" s="37">
        <f t="shared" si="6"/>
        <v>1998</v>
      </c>
      <c r="M12" s="43">
        <f t="shared" si="7"/>
        <v>100</v>
      </c>
      <c r="N12" s="59">
        <f t="shared" si="8"/>
        <v>0</v>
      </c>
    </row>
    <row r="13" spans="1:14" ht="34.5" customHeight="1" x14ac:dyDescent="0.25">
      <c r="A13" s="33"/>
      <c r="B13" s="34"/>
      <c r="C13" s="1"/>
      <c r="D13" s="1" t="s">
        <v>80</v>
      </c>
      <c r="E13" s="26">
        <f>(E10+E9+E8+E7+E6+E5)/100</f>
        <v>3.0691382765531063</v>
      </c>
      <c r="F13" s="34"/>
      <c r="G13" s="1"/>
      <c r="H13" s="1" t="s">
        <v>80</v>
      </c>
      <c r="I13" s="26">
        <f>(I10+I9+I8+I7+I6+I5)/100</f>
        <v>2.6216216216216215</v>
      </c>
      <c r="J13" s="34"/>
      <c r="K13" s="1"/>
      <c r="L13" s="1" t="s">
        <v>80</v>
      </c>
      <c r="M13" s="26">
        <f>(M10+M9+M8+M7+M6+M5)/100</f>
        <v>2.7902902902902906</v>
      </c>
      <c r="N13" s="34"/>
    </row>
    <row r="14" spans="1:14" ht="34.5" customHeight="1" x14ac:dyDescent="0.25">
      <c r="A14" s="33" t="s">
        <v>68</v>
      </c>
      <c r="B14" s="34"/>
      <c r="C14" s="34"/>
      <c r="D14" s="34"/>
      <c r="E14" s="34"/>
      <c r="F14" s="34"/>
      <c r="G14" s="34"/>
      <c r="H14" s="1" t="s">
        <v>81</v>
      </c>
      <c r="I14" s="1">
        <f>(E13+I13+M13)/3</f>
        <v>2.827016729488339</v>
      </c>
      <c r="J14" s="34"/>
      <c r="K14" s="34"/>
      <c r="L14" s="34"/>
      <c r="M14" s="34"/>
      <c r="N14" s="34"/>
    </row>
    <row r="15" spans="1:14" ht="34.5" customHeight="1" thickBot="1" x14ac:dyDescent="0.3">
      <c r="A15" s="33" t="s">
        <v>69</v>
      </c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</row>
    <row r="16" spans="1:14" ht="34.5" customHeight="1" thickBot="1" x14ac:dyDescent="0.3">
      <c r="A16" s="35" t="s">
        <v>58</v>
      </c>
      <c r="B16" s="126" t="s">
        <v>59</v>
      </c>
      <c r="C16" s="127"/>
      <c r="D16" s="127"/>
      <c r="E16" s="127"/>
      <c r="F16" s="128"/>
      <c r="G16" s="126" t="s">
        <v>60</v>
      </c>
      <c r="H16" s="127"/>
      <c r="I16" s="127"/>
      <c r="J16" s="128"/>
      <c r="K16" s="126" t="s">
        <v>61</v>
      </c>
      <c r="L16" s="127"/>
      <c r="M16" s="127"/>
      <c r="N16" s="128"/>
    </row>
    <row r="17" spans="1:17" ht="34.5" customHeight="1" thickBot="1" x14ac:dyDescent="0.3">
      <c r="A17" s="36" t="s">
        <v>62</v>
      </c>
      <c r="B17" s="37" t="s">
        <v>63</v>
      </c>
      <c r="C17" s="37" t="s">
        <v>64</v>
      </c>
      <c r="D17" s="37" t="s">
        <v>79</v>
      </c>
      <c r="E17" s="37" t="s">
        <v>65</v>
      </c>
      <c r="F17" s="37" t="s">
        <v>66</v>
      </c>
      <c r="G17" s="37" t="s">
        <v>64</v>
      </c>
      <c r="H17" s="37" t="s">
        <v>79</v>
      </c>
      <c r="I17" s="37" t="s">
        <v>65</v>
      </c>
      <c r="J17" s="37" t="s">
        <v>66</v>
      </c>
      <c r="K17" s="37" t="s">
        <v>64</v>
      </c>
      <c r="L17" s="37" t="s">
        <v>79</v>
      </c>
      <c r="M17" s="37" t="s">
        <v>65</v>
      </c>
      <c r="N17" s="37" t="s">
        <v>66</v>
      </c>
    </row>
    <row r="18" spans="1:17" ht="34.5" customHeight="1" thickBot="1" x14ac:dyDescent="0.3">
      <c r="A18" s="36">
        <v>20</v>
      </c>
      <c r="B18" s="37">
        <v>985</v>
      </c>
      <c r="C18" s="37">
        <v>985</v>
      </c>
      <c r="D18" s="37">
        <f>C18-B18</f>
        <v>0</v>
      </c>
      <c r="E18" s="43">
        <f>(D18/$D$25)*100</f>
        <v>0</v>
      </c>
      <c r="F18" s="59">
        <f>$E$25-E18</f>
        <v>100</v>
      </c>
      <c r="G18" s="37">
        <v>985</v>
      </c>
      <c r="H18" s="37">
        <f>G18-B18</f>
        <v>0</v>
      </c>
      <c r="I18" s="43">
        <f t="shared" ref="I18:I25" si="9">(H18/$H$25)*100</f>
        <v>0</v>
      </c>
      <c r="J18" s="59">
        <f>$I$25-I18</f>
        <v>100</v>
      </c>
      <c r="K18" s="37">
        <v>985</v>
      </c>
      <c r="L18" s="37">
        <f>K18-B18</f>
        <v>0</v>
      </c>
      <c r="M18" s="43">
        <f>(L18/$L$25)*100</f>
        <v>0</v>
      </c>
      <c r="N18" s="59">
        <f>$M$25-M18</f>
        <v>100</v>
      </c>
    </row>
    <row r="19" spans="1:17" ht="34.5" customHeight="1" thickBot="1" x14ac:dyDescent="0.3">
      <c r="A19" s="36">
        <v>16</v>
      </c>
      <c r="B19" s="37">
        <v>1027</v>
      </c>
      <c r="C19" s="37">
        <v>1027</v>
      </c>
      <c r="D19" s="37">
        <f t="shared" ref="D19:D25" si="10">D18+C19-B19</f>
        <v>0</v>
      </c>
      <c r="E19" s="43">
        <f t="shared" ref="E19:E25" si="11">(D19/$D$25)*100</f>
        <v>0</v>
      </c>
      <c r="F19" s="59">
        <f t="shared" ref="F19:F25" si="12">$E$12-E19</f>
        <v>100</v>
      </c>
      <c r="G19" s="37">
        <v>1027</v>
      </c>
      <c r="H19" s="37">
        <f t="shared" ref="H19:H25" si="13">H18+G19-B19</f>
        <v>0</v>
      </c>
      <c r="I19" s="43">
        <f t="shared" si="9"/>
        <v>0</v>
      </c>
      <c r="J19" s="59">
        <f t="shared" ref="J19:J25" si="14">$I$25-I19</f>
        <v>100</v>
      </c>
      <c r="K19" s="37">
        <v>1027</v>
      </c>
      <c r="L19" s="37">
        <f t="shared" ref="L19:L25" si="15">L18+K19-B19</f>
        <v>0</v>
      </c>
      <c r="M19" s="43">
        <f t="shared" ref="M19:M25" si="16">(L19/$L$25)*100</f>
        <v>0</v>
      </c>
      <c r="N19" s="59">
        <f t="shared" ref="N19:N25" si="17">$M$25-M19</f>
        <v>100</v>
      </c>
      <c r="Q19">
        <f>K19-B19</f>
        <v>0</v>
      </c>
    </row>
    <row r="20" spans="1:17" ht="34.5" customHeight="1" thickBot="1" x14ac:dyDescent="0.3">
      <c r="A20" s="36">
        <v>14</v>
      </c>
      <c r="B20" s="37">
        <v>1084</v>
      </c>
      <c r="C20" s="37">
        <v>1115</v>
      </c>
      <c r="D20" s="37">
        <f t="shared" si="10"/>
        <v>31</v>
      </c>
      <c r="E20" s="43">
        <f t="shared" si="11"/>
        <v>1.0333333333333332</v>
      </c>
      <c r="F20" s="59">
        <f t="shared" si="12"/>
        <v>98.966666666666669</v>
      </c>
      <c r="G20" s="37">
        <v>1101</v>
      </c>
      <c r="H20" s="37">
        <f t="shared" si="13"/>
        <v>17</v>
      </c>
      <c r="I20" s="43">
        <f t="shared" si="9"/>
        <v>0.56666666666666665</v>
      </c>
      <c r="J20" s="59">
        <f t="shared" si="14"/>
        <v>99.433333333333337</v>
      </c>
      <c r="K20" s="37">
        <v>1100</v>
      </c>
      <c r="L20" s="37">
        <f t="shared" si="15"/>
        <v>16</v>
      </c>
      <c r="M20" s="43">
        <f t="shared" si="16"/>
        <v>0.53333333333333333</v>
      </c>
      <c r="N20" s="59">
        <f t="shared" si="17"/>
        <v>99.466666666666669</v>
      </c>
      <c r="Q20">
        <f>K20+Q19</f>
        <v>1100</v>
      </c>
    </row>
    <row r="21" spans="1:17" ht="34.5" customHeight="1" thickBot="1" x14ac:dyDescent="0.3">
      <c r="A21" s="36">
        <v>12.5</v>
      </c>
      <c r="B21" s="37">
        <v>990</v>
      </c>
      <c r="C21" s="37">
        <v>1152</v>
      </c>
      <c r="D21" s="37">
        <f t="shared" si="10"/>
        <v>193</v>
      </c>
      <c r="E21" s="43">
        <f t="shared" si="11"/>
        <v>6.4333333333333336</v>
      </c>
      <c r="F21" s="59">
        <f t="shared" si="12"/>
        <v>93.566666666666663</v>
      </c>
      <c r="G21" s="37">
        <v>1146</v>
      </c>
      <c r="H21" s="37">
        <f t="shared" si="13"/>
        <v>173</v>
      </c>
      <c r="I21" s="43">
        <f t="shared" si="9"/>
        <v>5.7666666666666666</v>
      </c>
      <c r="J21" s="59">
        <f t="shared" si="14"/>
        <v>94.233333333333334</v>
      </c>
      <c r="K21" s="37">
        <v>1164</v>
      </c>
      <c r="L21" s="37">
        <f t="shared" si="15"/>
        <v>190</v>
      </c>
      <c r="M21" s="43">
        <f t="shared" si="16"/>
        <v>6.3333333333333339</v>
      </c>
      <c r="N21" s="59">
        <f t="shared" si="17"/>
        <v>93.666666666666671</v>
      </c>
    </row>
    <row r="22" spans="1:17" ht="34.5" customHeight="1" thickBot="1" x14ac:dyDescent="0.3">
      <c r="A22" s="36">
        <v>10</v>
      </c>
      <c r="B22" s="37">
        <v>815</v>
      </c>
      <c r="C22" s="37">
        <v>1614</v>
      </c>
      <c r="D22" s="37">
        <f t="shared" si="10"/>
        <v>992</v>
      </c>
      <c r="E22" s="43">
        <f t="shared" si="11"/>
        <v>33.066666666666663</v>
      </c>
      <c r="F22" s="59">
        <f t="shared" si="12"/>
        <v>66.933333333333337</v>
      </c>
      <c r="G22" s="37">
        <v>1520</v>
      </c>
      <c r="H22" s="37">
        <f t="shared" si="13"/>
        <v>878</v>
      </c>
      <c r="I22" s="43">
        <f t="shared" si="9"/>
        <v>29.266666666666669</v>
      </c>
      <c r="J22" s="59">
        <f t="shared" si="14"/>
        <v>70.733333333333334</v>
      </c>
      <c r="K22" s="37">
        <v>1509</v>
      </c>
      <c r="L22" s="37">
        <f t="shared" si="15"/>
        <v>884</v>
      </c>
      <c r="M22" s="43">
        <f t="shared" si="16"/>
        <v>29.466666666666669</v>
      </c>
      <c r="N22" s="59">
        <f t="shared" si="17"/>
        <v>70.533333333333331</v>
      </c>
    </row>
    <row r="23" spans="1:17" ht="34.5" customHeight="1" thickBot="1" x14ac:dyDescent="0.3">
      <c r="A23" s="36">
        <v>5</v>
      </c>
      <c r="B23" s="37">
        <v>831</v>
      </c>
      <c r="C23" s="37">
        <v>2801</v>
      </c>
      <c r="D23" s="37">
        <f t="shared" si="10"/>
        <v>2962</v>
      </c>
      <c r="E23" s="43">
        <f t="shared" si="11"/>
        <v>98.733333333333334</v>
      </c>
      <c r="F23" s="59">
        <f t="shared" si="12"/>
        <v>1.2666666666666657</v>
      </c>
      <c r="G23" s="37">
        <v>2848</v>
      </c>
      <c r="H23" s="37">
        <f t="shared" si="13"/>
        <v>2895</v>
      </c>
      <c r="I23" s="43">
        <f t="shared" si="9"/>
        <v>96.5</v>
      </c>
      <c r="J23" s="59">
        <f t="shared" si="14"/>
        <v>3.5</v>
      </c>
      <c r="K23" s="37">
        <v>2910</v>
      </c>
      <c r="L23" s="37">
        <f t="shared" si="15"/>
        <v>2963</v>
      </c>
      <c r="M23" s="43">
        <f t="shared" si="16"/>
        <v>98.766666666666666</v>
      </c>
      <c r="N23" s="59">
        <f t="shared" si="17"/>
        <v>1.2333333333333343</v>
      </c>
    </row>
    <row r="24" spans="1:17" ht="34.5" customHeight="1" thickBot="1" x14ac:dyDescent="0.3">
      <c r="A24" s="36">
        <v>2.36</v>
      </c>
      <c r="B24" s="37">
        <v>808</v>
      </c>
      <c r="C24" s="37">
        <v>845</v>
      </c>
      <c r="D24" s="37">
        <f t="shared" si="10"/>
        <v>2999</v>
      </c>
      <c r="E24" s="43">
        <f t="shared" si="11"/>
        <v>99.966666666666669</v>
      </c>
      <c r="F24" s="59">
        <f t="shared" si="12"/>
        <v>3.3333333333331439E-2</v>
      </c>
      <c r="G24" s="37">
        <v>911</v>
      </c>
      <c r="H24" s="37">
        <f t="shared" si="13"/>
        <v>2998</v>
      </c>
      <c r="I24" s="43">
        <f t="shared" si="9"/>
        <v>99.933333333333323</v>
      </c>
      <c r="J24" s="59">
        <f t="shared" si="14"/>
        <v>6.6666666666677088E-2</v>
      </c>
      <c r="K24" s="37">
        <v>844</v>
      </c>
      <c r="L24" s="37">
        <f t="shared" si="15"/>
        <v>2999</v>
      </c>
      <c r="M24" s="43">
        <f t="shared" si="16"/>
        <v>99.966666666666669</v>
      </c>
      <c r="N24" s="59">
        <f t="shared" si="17"/>
        <v>3.3333333333331439E-2</v>
      </c>
    </row>
    <row r="25" spans="1:17" ht="33.75" customHeight="1" thickBot="1" x14ac:dyDescent="0.3">
      <c r="A25" s="36" t="s">
        <v>67</v>
      </c>
      <c r="B25" s="37">
        <v>712</v>
      </c>
      <c r="C25" s="37">
        <v>713</v>
      </c>
      <c r="D25" s="37">
        <f t="shared" si="10"/>
        <v>3000</v>
      </c>
      <c r="E25" s="43">
        <f t="shared" si="11"/>
        <v>100</v>
      </c>
      <c r="F25" s="59">
        <f t="shared" si="12"/>
        <v>0</v>
      </c>
      <c r="G25" s="37">
        <v>714</v>
      </c>
      <c r="H25" s="37">
        <f t="shared" si="13"/>
        <v>3000</v>
      </c>
      <c r="I25" s="43">
        <f t="shared" si="9"/>
        <v>100</v>
      </c>
      <c r="J25" s="59">
        <f t="shared" si="14"/>
        <v>0</v>
      </c>
      <c r="K25" s="37">
        <v>713</v>
      </c>
      <c r="L25" s="37">
        <f t="shared" si="15"/>
        <v>3000</v>
      </c>
      <c r="M25" s="43">
        <f t="shared" si="16"/>
        <v>100</v>
      </c>
      <c r="N25" s="59">
        <f t="shared" si="17"/>
        <v>0</v>
      </c>
    </row>
    <row r="26" spans="1:17" ht="33.75" customHeight="1" x14ac:dyDescent="0.25">
      <c r="A26" s="33"/>
      <c r="B26" s="34"/>
      <c r="C26" s="34"/>
      <c r="D26" s="1"/>
      <c r="E26" s="26"/>
      <c r="F26" s="34"/>
      <c r="G26" s="34"/>
      <c r="H26" s="34"/>
      <c r="I26" s="34"/>
      <c r="J26" s="34"/>
      <c r="K26" s="34"/>
      <c r="L26" s="34"/>
      <c r="M26" s="34"/>
      <c r="N26" s="34"/>
    </row>
    <row r="27" spans="1:17" ht="33.75" customHeight="1" x14ac:dyDescent="0.25"/>
    <row r="28" spans="1:17" ht="28.5" customHeight="1" x14ac:dyDescent="0.25">
      <c r="A28" s="48" t="s">
        <v>73</v>
      </c>
      <c r="B28" s="49" t="s">
        <v>74</v>
      </c>
      <c r="C28" s="49" t="s">
        <v>75</v>
      </c>
      <c r="D28" s="48" t="s">
        <v>76</v>
      </c>
      <c r="F28" s="44" t="s">
        <v>73</v>
      </c>
      <c r="G28" s="46" t="s">
        <v>74</v>
      </c>
      <c r="H28" s="46" t="s">
        <v>75</v>
      </c>
      <c r="I28" s="44" t="s">
        <v>76</v>
      </c>
    </row>
    <row r="29" spans="1:17" ht="28.5" customHeight="1" x14ac:dyDescent="0.25">
      <c r="A29" s="48" t="s">
        <v>77</v>
      </c>
      <c r="B29" s="49" t="s">
        <v>78</v>
      </c>
      <c r="C29" s="49" t="s">
        <v>78</v>
      </c>
      <c r="D29" s="48" t="s">
        <v>32</v>
      </c>
      <c r="F29" s="45">
        <v>16</v>
      </c>
      <c r="G29" s="47">
        <v>100</v>
      </c>
      <c r="H29" s="47">
        <v>100</v>
      </c>
      <c r="I29" s="50">
        <f t="shared" ref="I29:I34" si="18">AVERAGE(F19,J19,N19)</f>
        <v>100</v>
      </c>
    </row>
    <row r="30" spans="1:17" ht="28.5" customHeight="1" x14ac:dyDescent="0.25">
      <c r="A30" s="53">
        <v>9.5</v>
      </c>
      <c r="B30" s="49">
        <v>100</v>
      </c>
      <c r="C30" s="49">
        <v>100</v>
      </c>
      <c r="D30" s="50">
        <v>100</v>
      </c>
      <c r="F30" s="45">
        <v>14</v>
      </c>
      <c r="G30" s="47">
        <v>100</v>
      </c>
      <c r="H30" s="47">
        <v>100</v>
      </c>
      <c r="I30" s="50">
        <f t="shared" si="18"/>
        <v>99.288888888888891</v>
      </c>
    </row>
    <row r="31" spans="1:17" ht="28.5" customHeight="1" x14ac:dyDescent="0.25">
      <c r="A31" s="54">
        <v>4.75</v>
      </c>
      <c r="B31" s="52">
        <v>100</v>
      </c>
      <c r="C31" s="52">
        <v>95</v>
      </c>
      <c r="D31" s="50">
        <f>AVERAGE(N5,J5)</f>
        <v>98.748748748748753</v>
      </c>
      <c r="F31" s="45">
        <v>12.5</v>
      </c>
      <c r="G31" s="47">
        <v>100</v>
      </c>
      <c r="H31" s="47">
        <v>90</v>
      </c>
      <c r="I31" s="50">
        <f t="shared" si="18"/>
        <v>93.822222222222237</v>
      </c>
    </row>
    <row r="32" spans="1:17" ht="28.5" customHeight="1" x14ac:dyDescent="0.25">
      <c r="A32" s="54">
        <v>2.36</v>
      </c>
      <c r="B32" s="52">
        <v>100</v>
      </c>
      <c r="C32" s="52">
        <v>80</v>
      </c>
      <c r="D32" s="50">
        <f t="shared" ref="D32:D38" si="19">AVERAGE(N6,J6)</f>
        <v>94.194194194194196</v>
      </c>
      <c r="F32" s="45">
        <v>9.5</v>
      </c>
      <c r="G32" s="47">
        <v>70</v>
      </c>
      <c r="H32" s="47">
        <v>40</v>
      </c>
      <c r="I32" s="50">
        <f>AVERAGE(F22,J22,N22)</f>
        <v>69.400000000000006</v>
      </c>
    </row>
    <row r="33" spans="1:9" ht="28.5" customHeight="1" x14ac:dyDescent="0.25">
      <c r="A33" s="54">
        <v>1.18</v>
      </c>
      <c r="B33" s="52">
        <v>85</v>
      </c>
      <c r="C33" s="52">
        <v>50</v>
      </c>
      <c r="D33" s="50">
        <f t="shared" si="19"/>
        <v>74.349349349349353</v>
      </c>
      <c r="F33" s="45">
        <v>5</v>
      </c>
      <c r="G33" s="47">
        <v>15</v>
      </c>
      <c r="H33" s="47">
        <v>0</v>
      </c>
      <c r="I33" s="50">
        <f t="shared" si="18"/>
        <v>2</v>
      </c>
    </row>
    <row r="34" spans="1:9" ht="28.5" customHeight="1" x14ac:dyDescent="0.25">
      <c r="A34" s="57">
        <v>0.6</v>
      </c>
      <c r="B34" s="58">
        <v>60</v>
      </c>
      <c r="C34" s="58">
        <v>25</v>
      </c>
      <c r="D34" s="50">
        <f t="shared" si="19"/>
        <v>45.72072072072072</v>
      </c>
      <c r="F34" s="55">
        <v>2.36</v>
      </c>
      <c r="G34" s="56">
        <v>5</v>
      </c>
      <c r="H34" s="56">
        <v>0</v>
      </c>
      <c r="I34" s="50">
        <f t="shared" si="18"/>
        <v>4.4444444444446653E-2</v>
      </c>
    </row>
    <row r="35" spans="1:9" ht="28.5" customHeight="1" x14ac:dyDescent="0.25">
      <c r="A35" s="54">
        <v>0.3</v>
      </c>
      <c r="B35" s="52">
        <v>30</v>
      </c>
      <c r="C35" s="52">
        <v>10</v>
      </c>
      <c r="D35" s="50">
        <f t="shared" si="19"/>
        <v>12.187187187187192</v>
      </c>
      <c r="F35" s="60"/>
      <c r="G35" s="61">
        <v>0</v>
      </c>
      <c r="H35" s="61">
        <v>0</v>
      </c>
      <c r="I35" s="50">
        <v>0</v>
      </c>
    </row>
    <row r="36" spans="1:9" ht="28.5" customHeight="1" x14ac:dyDescent="0.25">
      <c r="A36" s="54">
        <v>0.15</v>
      </c>
      <c r="B36" s="52">
        <v>10</v>
      </c>
      <c r="C36" s="52">
        <v>2</v>
      </c>
      <c r="D36" s="50">
        <f t="shared" si="19"/>
        <v>4.2042042042042098</v>
      </c>
    </row>
    <row r="37" spans="1:9" ht="28.5" customHeight="1" x14ac:dyDescent="0.25">
      <c r="A37" s="54">
        <v>7.4999999999999997E-2</v>
      </c>
      <c r="B37" s="52">
        <v>2</v>
      </c>
      <c r="C37" s="52">
        <v>0</v>
      </c>
      <c r="D37" s="50">
        <f t="shared" si="19"/>
        <v>0.25025025025025371</v>
      </c>
    </row>
    <row r="38" spans="1:9" ht="28.5" customHeight="1" x14ac:dyDescent="0.25">
      <c r="A38" s="54"/>
      <c r="B38" s="51">
        <v>0</v>
      </c>
      <c r="C38" s="51">
        <v>0</v>
      </c>
      <c r="D38" s="50">
        <f t="shared" si="19"/>
        <v>0</v>
      </c>
    </row>
    <row r="63" spans="7:8" ht="16.5" thickBot="1" x14ac:dyDescent="0.3"/>
    <row r="64" spans="7:8" ht="24" thickBot="1" x14ac:dyDescent="0.45">
      <c r="G64" s="62" t="s">
        <v>82</v>
      </c>
      <c r="H64" s="63">
        <v>2.81</v>
      </c>
    </row>
    <row r="65" spans="7:8" ht="47.25" thickBot="1" x14ac:dyDescent="0.45">
      <c r="G65" s="64" t="s">
        <v>83</v>
      </c>
      <c r="H65" s="64" t="s">
        <v>84</v>
      </c>
    </row>
    <row r="66" spans="7:8" ht="24" thickBot="1" x14ac:dyDescent="0.45">
      <c r="G66" s="64" t="s">
        <v>85</v>
      </c>
      <c r="H66" s="64" t="s">
        <v>86</v>
      </c>
    </row>
    <row r="67" spans="7:8" ht="24" thickBot="1" x14ac:dyDescent="0.45">
      <c r="G67" s="64" t="s">
        <v>87</v>
      </c>
      <c r="H67" s="65" t="s">
        <v>88</v>
      </c>
    </row>
    <row r="68" spans="7:8" ht="24" thickBot="1" x14ac:dyDescent="0.45">
      <c r="G68" s="66" t="s">
        <v>89</v>
      </c>
      <c r="H68" s="66" t="s">
        <v>90</v>
      </c>
    </row>
  </sheetData>
  <mergeCells count="6">
    <mergeCell ref="B3:F3"/>
    <mergeCell ref="G3:J3"/>
    <mergeCell ref="K3:N3"/>
    <mergeCell ref="B16:F16"/>
    <mergeCell ref="G16:J16"/>
    <mergeCell ref="K16:N1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60035-3311-48A6-9E1F-D722672E231C}">
  <sheetPr>
    <pageSetUpPr fitToPage="1"/>
  </sheetPr>
  <dimension ref="A1:Z11"/>
  <sheetViews>
    <sheetView tabSelected="1" zoomScale="70" zoomScaleNormal="70" workbookViewId="0">
      <selection activeCell="C11" sqref="C11:Z11"/>
    </sheetView>
  </sheetViews>
  <sheetFormatPr defaultRowHeight="15.75" x14ac:dyDescent="0.25"/>
  <cols>
    <col min="1" max="1" width="21.25" style="1" bestFit="1" customWidth="1"/>
    <col min="2" max="2" width="12.625" style="1" customWidth="1"/>
    <col min="3" max="26" width="7.5" style="1" customWidth="1"/>
    <col min="27" max="16384" width="9" style="1"/>
  </cols>
  <sheetData>
    <row r="1" spans="1:26" ht="25.5" customHeight="1" x14ac:dyDescent="0.25">
      <c r="A1" s="6"/>
      <c r="B1" s="16"/>
      <c r="C1" s="129">
        <v>0</v>
      </c>
      <c r="D1" s="129"/>
      <c r="E1" s="129"/>
      <c r="F1" s="129"/>
      <c r="G1" s="131">
        <v>1</v>
      </c>
      <c r="H1" s="131"/>
      <c r="I1" s="131"/>
      <c r="J1" s="131"/>
      <c r="K1" s="129">
        <v>2</v>
      </c>
      <c r="L1" s="129"/>
      <c r="M1" s="129"/>
      <c r="N1" s="129"/>
      <c r="O1" s="131">
        <v>3</v>
      </c>
      <c r="P1" s="131"/>
      <c r="Q1" s="131"/>
      <c r="R1" s="131"/>
      <c r="S1" s="129">
        <v>4</v>
      </c>
      <c r="T1" s="129"/>
      <c r="U1" s="129"/>
      <c r="V1" s="129"/>
      <c r="W1" s="130">
        <v>5</v>
      </c>
      <c r="X1" s="130"/>
      <c r="Y1" s="130"/>
      <c r="Z1" s="130"/>
    </row>
    <row r="2" spans="1:26" ht="25.5" customHeight="1" x14ac:dyDescent="0.25">
      <c r="A2" s="6" t="s">
        <v>19</v>
      </c>
      <c r="B2" s="16"/>
      <c r="C2" s="7">
        <v>2337</v>
      </c>
      <c r="D2" s="7">
        <v>2311</v>
      </c>
      <c r="E2" s="7">
        <v>2453</v>
      </c>
      <c r="F2" s="15">
        <f>AVERAGE(C2:E2)</f>
        <v>2367</v>
      </c>
      <c r="G2" s="8">
        <v>2276</v>
      </c>
      <c r="H2" s="8">
        <v>2273</v>
      </c>
      <c r="I2" s="8">
        <v>2272</v>
      </c>
      <c r="J2" s="15">
        <f>AVERAGE(G2:I2)</f>
        <v>2273.6666666666665</v>
      </c>
      <c r="K2" s="7">
        <v>2284</v>
      </c>
      <c r="L2" s="7">
        <v>2257</v>
      </c>
      <c r="M2" s="7">
        <v>2169</v>
      </c>
      <c r="N2" s="15">
        <f>AVERAGE(K2:M2)</f>
        <v>2236.6666666666665</v>
      </c>
      <c r="O2" s="8">
        <v>2154</v>
      </c>
      <c r="P2" s="8">
        <v>2174</v>
      </c>
      <c r="Q2" s="8">
        <v>2130</v>
      </c>
      <c r="R2" s="15">
        <f>AVERAGE(O2:Q2)</f>
        <v>2152.6666666666665</v>
      </c>
      <c r="S2" s="7">
        <v>2086</v>
      </c>
      <c r="T2" s="7">
        <v>2206</v>
      </c>
      <c r="U2" s="7">
        <v>2209</v>
      </c>
      <c r="V2" s="15">
        <f>AVERAGE(S2:U2)</f>
        <v>2167</v>
      </c>
      <c r="W2" s="6">
        <v>2206</v>
      </c>
      <c r="X2" s="6">
        <v>2165</v>
      </c>
      <c r="Y2" s="6"/>
      <c r="Z2" s="15">
        <f>AVERAGE(W2:X2)</f>
        <v>2185.5</v>
      </c>
    </row>
    <row r="3" spans="1:26" ht="25.5" customHeight="1" x14ac:dyDescent="0.25">
      <c r="A3" s="6" t="s">
        <v>20</v>
      </c>
      <c r="B3" s="16"/>
      <c r="C3" s="7">
        <v>2272</v>
      </c>
      <c r="D3" s="7"/>
      <c r="E3" s="7"/>
      <c r="F3" s="15"/>
      <c r="G3" s="8"/>
      <c r="H3" s="8"/>
      <c r="I3" s="8"/>
      <c r="J3" s="15"/>
      <c r="K3" s="7"/>
      <c r="L3" s="7"/>
      <c r="M3" s="7"/>
      <c r="N3" s="15"/>
      <c r="O3" s="8"/>
      <c r="P3" s="8"/>
      <c r="Q3" s="8"/>
      <c r="R3" s="15"/>
      <c r="S3" s="7"/>
      <c r="T3" s="7"/>
      <c r="U3" s="7">
        <v>2101</v>
      </c>
      <c r="V3" s="15"/>
      <c r="W3" s="6">
        <v>2082</v>
      </c>
      <c r="X3" s="6"/>
      <c r="Y3" s="6"/>
      <c r="Z3" s="15"/>
    </row>
    <row r="4" spans="1:26" ht="25.5" customHeight="1" x14ac:dyDescent="0.25">
      <c r="A4" s="12"/>
      <c r="B4" s="16"/>
      <c r="C4" s="13">
        <f>(C2-C3)/C3*100</f>
        <v>2.8609154929577465</v>
      </c>
      <c r="D4" s="13"/>
      <c r="E4" s="13"/>
      <c r="F4" s="15"/>
      <c r="G4" s="8"/>
      <c r="H4" s="8"/>
      <c r="I4" s="8"/>
      <c r="J4" s="15"/>
      <c r="K4" s="13"/>
      <c r="L4" s="13"/>
      <c r="M4" s="13"/>
      <c r="N4" s="15"/>
      <c r="O4" s="8"/>
      <c r="P4" s="8"/>
      <c r="Q4" s="8"/>
      <c r="R4" s="15"/>
      <c r="S4" s="13"/>
      <c r="T4" s="13"/>
      <c r="U4" s="13">
        <f>(U2-U3)/U3*100</f>
        <v>5.1404093288910042</v>
      </c>
      <c r="V4" s="15"/>
      <c r="W4" s="12">
        <f>(W2-W3)/W3*100</f>
        <v>5.9558117195004803</v>
      </c>
      <c r="X4" s="12"/>
      <c r="Y4" s="12"/>
      <c r="Z4" s="15"/>
    </row>
    <row r="5" spans="1:26" ht="25.5" customHeight="1" x14ac:dyDescent="0.25">
      <c r="A5" s="6" t="s">
        <v>21</v>
      </c>
      <c r="B5" s="16"/>
      <c r="C5" s="7">
        <v>2250</v>
      </c>
      <c r="D5" s="7">
        <v>2219</v>
      </c>
      <c r="E5" s="7">
        <v>2359</v>
      </c>
      <c r="F5" s="15">
        <f>AVERAGE(C5:E5)</f>
        <v>2276</v>
      </c>
      <c r="G5" s="8">
        <v>2161</v>
      </c>
      <c r="H5" s="8">
        <v>2154</v>
      </c>
      <c r="I5" s="8">
        <v>2151</v>
      </c>
      <c r="J5" s="15">
        <f>AVERAGE(G5:I5)</f>
        <v>2155.3333333333335</v>
      </c>
      <c r="K5" s="7">
        <v>2155</v>
      </c>
      <c r="L5" s="7">
        <v>2130</v>
      </c>
      <c r="M5" s="7">
        <v>2051</v>
      </c>
      <c r="N5" s="15">
        <f>AVERAGE(K5:M5)</f>
        <v>2112</v>
      </c>
      <c r="O5" s="8">
        <v>2021</v>
      </c>
      <c r="P5" s="8">
        <v>2043</v>
      </c>
      <c r="Q5" s="8">
        <v>2006</v>
      </c>
      <c r="R5" s="15">
        <f>AVERAGE(O5:Q5)</f>
        <v>2023.3333333333333</v>
      </c>
      <c r="S5" s="7">
        <v>1966</v>
      </c>
      <c r="T5" s="7">
        <v>2077</v>
      </c>
      <c r="U5" s="7">
        <v>2083</v>
      </c>
      <c r="V5" s="15">
        <f>AVERAGE(S5:U5)</f>
        <v>2042</v>
      </c>
      <c r="W5" s="6">
        <v>2068</v>
      </c>
      <c r="X5" s="6">
        <v>2028</v>
      </c>
      <c r="Y5" s="6"/>
      <c r="Z5" s="15">
        <f>AVERAGE(W5:X5)</f>
        <v>2048</v>
      </c>
    </row>
    <row r="6" spans="1:26" ht="25.5" customHeight="1" x14ac:dyDescent="0.25">
      <c r="A6" s="6" t="s">
        <v>22</v>
      </c>
      <c r="B6" s="16"/>
      <c r="C6" s="7"/>
      <c r="D6" s="7"/>
      <c r="E6" s="7"/>
      <c r="F6" s="15"/>
      <c r="G6" s="8"/>
      <c r="H6" s="8"/>
      <c r="I6" s="8"/>
      <c r="J6" s="15"/>
      <c r="K6" s="7"/>
      <c r="L6" s="7"/>
      <c r="M6" s="7"/>
      <c r="N6" s="15"/>
      <c r="O6" s="8"/>
      <c r="P6" s="8"/>
      <c r="Q6" s="8"/>
      <c r="R6" s="15"/>
      <c r="S6" s="7"/>
      <c r="T6" s="7"/>
      <c r="U6" s="7"/>
      <c r="V6" s="15"/>
      <c r="W6" s="6"/>
      <c r="X6" s="6"/>
      <c r="Y6" s="6"/>
      <c r="Z6" s="15"/>
    </row>
    <row r="7" spans="1:26" ht="25.5" customHeight="1" x14ac:dyDescent="0.25">
      <c r="A7" s="6" t="s">
        <v>23</v>
      </c>
      <c r="B7" s="16"/>
      <c r="C7" s="7">
        <v>2322</v>
      </c>
      <c r="D7" s="7">
        <v>2292</v>
      </c>
      <c r="E7" s="7">
        <v>2435</v>
      </c>
      <c r="F7" s="15">
        <f>AVERAGE(C7:E7)</f>
        <v>2349.6666666666665</v>
      </c>
      <c r="G7" s="8">
        <v>2263</v>
      </c>
      <c r="H7" s="8">
        <v>2258</v>
      </c>
      <c r="I7" s="8">
        <v>2260</v>
      </c>
      <c r="J7" s="15">
        <f>AVERAGE(G7:I7)</f>
        <v>2260.3333333333335</v>
      </c>
      <c r="K7" s="7">
        <v>2269</v>
      </c>
      <c r="L7" s="7">
        <v>2241</v>
      </c>
      <c r="M7" s="7">
        <v>2156</v>
      </c>
      <c r="N7" s="15">
        <f>AVERAGE(K7:M7)</f>
        <v>2222</v>
      </c>
      <c r="O7" s="8">
        <v>2140</v>
      </c>
      <c r="P7" s="8">
        <v>2164</v>
      </c>
      <c r="Q7" s="8">
        <v>2120</v>
      </c>
      <c r="R7" s="15">
        <f>AVERAGE(O7:Q7)</f>
        <v>2141.3333333333335</v>
      </c>
      <c r="S7" s="7">
        <v>2071</v>
      </c>
      <c r="T7" s="7">
        <v>2192</v>
      </c>
      <c r="U7" s="7">
        <v>2198</v>
      </c>
      <c r="V7" s="15">
        <f>AVERAGE(S7:U7)</f>
        <v>2153.6666666666665</v>
      </c>
      <c r="W7" s="6">
        <v>2196</v>
      </c>
      <c r="X7" s="6">
        <v>2153</v>
      </c>
      <c r="Y7" s="6"/>
      <c r="Z7" s="15">
        <f>AVERAGE(W7:X7)</f>
        <v>2174.5</v>
      </c>
    </row>
    <row r="8" spans="1:26" ht="25.5" customHeight="1" x14ac:dyDescent="0.25">
      <c r="A8" s="16" t="s">
        <v>33</v>
      </c>
      <c r="B8" s="16"/>
      <c r="C8" s="19">
        <f>(C7-C5)/C5</f>
        <v>3.2000000000000001E-2</v>
      </c>
      <c r="D8" s="19">
        <f>(D7-D5)/D5</f>
        <v>3.2897701667417754E-2</v>
      </c>
      <c r="E8" s="19">
        <f>(E7-E5)/E5</f>
        <v>3.2217041119118273E-2</v>
      </c>
      <c r="F8" s="20">
        <f>AVERAGE(C8:E8)</f>
        <v>3.2371580928845345E-2</v>
      </c>
      <c r="G8" s="21">
        <f>(G7-G5)/G5</f>
        <v>4.7200370198981954E-2</v>
      </c>
      <c r="H8" s="21">
        <f>(H7-H5)/H5</f>
        <v>4.828226555246054E-2</v>
      </c>
      <c r="I8" s="21">
        <f>(I7-I5)/I5</f>
        <v>5.0674105067410505E-2</v>
      </c>
      <c r="J8" s="17">
        <f>AVERAGE(G8:I8)</f>
        <v>4.8718913606284331E-2</v>
      </c>
      <c r="K8" s="19">
        <f>(K7-K5)/K5</f>
        <v>5.2900232018561484E-2</v>
      </c>
      <c r="L8" s="19">
        <f>(L7-L5)/L5</f>
        <v>5.2112676056338028E-2</v>
      </c>
      <c r="M8" s="19">
        <f>(M7-M5)/M5</f>
        <v>5.1194539249146756E-2</v>
      </c>
      <c r="N8" s="17">
        <f>AVERAGE(K8:M8)</f>
        <v>5.2069149108015432E-2</v>
      </c>
      <c r="O8" s="21">
        <f>(O7-O5)/O5</f>
        <v>5.8881741712023754E-2</v>
      </c>
      <c r="P8" s="21">
        <f>(P7-P5)/P5</f>
        <v>5.9226627508565832E-2</v>
      </c>
      <c r="Q8" s="21">
        <f>(Q7-Q5)/Q5</f>
        <v>5.6829511465603187E-2</v>
      </c>
      <c r="R8" s="17">
        <f>AVERAGE(O8:Q8)</f>
        <v>5.8312626895397596E-2</v>
      </c>
      <c r="S8" s="19">
        <f>(S7-S5)/S5</f>
        <v>5.3407934893184128E-2</v>
      </c>
      <c r="T8" s="19">
        <f>(T7-T5)/T5</f>
        <v>5.5368319691863267E-2</v>
      </c>
      <c r="U8" s="19">
        <f>(U7-U5)/U5</f>
        <v>5.5208833413346134E-2</v>
      </c>
      <c r="V8" s="17">
        <f>AVERAGE(S8:U8)</f>
        <v>5.46616959994645E-2</v>
      </c>
      <c r="W8" s="22">
        <f>(W7-W5)/W5</f>
        <v>6.1895551257253385E-2</v>
      </c>
      <c r="X8" s="22">
        <f>(X7-X5)/X5</f>
        <v>6.1637080867850101E-2</v>
      </c>
      <c r="Y8" s="22"/>
      <c r="Z8" s="17">
        <f>AVERAGE(W8:X8)</f>
        <v>6.1766316062551743E-2</v>
      </c>
    </row>
    <row r="9" spans="1:26" s="26" customFormat="1" ht="25.5" customHeight="1" x14ac:dyDescent="0.25">
      <c r="A9" s="25" t="s">
        <v>34</v>
      </c>
      <c r="B9" s="25"/>
      <c r="C9" s="23">
        <f>_xlfn.STDEV.P(C8:E8)</f>
        <v>3.8242993738636888E-4</v>
      </c>
      <c r="D9" s="23"/>
      <c r="E9" s="23"/>
      <c r="F9" s="17"/>
      <c r="G9" s="24">
        <f>_xlfn.STDEV.P(G8:I8)</f>
        <v>1.4513682340502379E-3</v>
      </c>
      <c r="H9" s="24"/>
      <c r="I9" s="24"/>
      <c r="J9" s="17"/>
      <c r="K9" s="23">
        <f>_xlfn.STDEV.P(K8:M8)</f>
        <v>6.970260168894369E-4</v>
      </c>
      <c r="L9" s="23"/>
      <c r="M9" s="23"/>
      <c r="N9" s="17"/>
      <c r="O9" s="24">
        <f>_xlfn.STDEV.P(O8:Q8)</f>
        <v>1.0581304540666038E-3</v>
      </c>
      <c r="P9" s="24"/>
      <c r="Q9" s="24"/>
      <c r="R9" s="17"/>
      <c r="S9" s="23">
        <f>_xlfn.STDEV.P(S8:U8)</f>
        <v>8.8893068795224076E-4</v>
      </c>
      <c r="T9" s="23"/>
      <c r="U9" s="23"/>
      <c r="V9" s="17"/>
      <c r="W9" s="25">
        <f>_xlfn.STDEV.P(W8:X8)</f>
        <v>1.2923519470164208E-4</v>
      </c>
      <c r="X9" s="25"/>
      <c r="Y9" s="25"/>
      <c r="Z9" s="17"/>
    </row>
    <row r="10" spans="1:26" s="26" customFormat="1" ht="25.5" customHeight="1" x14ac:dyDescent="0.25">
      <c r="A10" s="69"/>
      <c r="B10" s="69"/>
      <c r="C10" s="69"/>
      <c r="D10" s="69"/>
      <c r="E10" s="69"/>
      <c r="F10" s="70"/>
      <c r="G10" s="69"/>
      <c r="H10" s="69"/>
      <c r="I10" s="69"/>
      <c r="J10" s="70"/>
      <c r="K10" s="69"/>
      <c r="L10" s="69"/>
      <c r="M10" s="69"/>
      <c r="N10" s="70"/>
      <c r="O10" s="69"/>
      <c r="P10" s="69"/>
      <c r="Q10" s="69"/>
      <c r="R10" s="70"/>
      <c r="S10" s="69"/>
      <c r="T10" s="69"/>
      <c r="U10" s="69"/>
      <c r="V10" s="70"/>
      <c r="W10" s="69"/>
      <c r="X10" s="69"/>
      <c r="Y10" s="69"/>
      <c r="Z10" s="70"/>
    </row>
    <row r="11" spans="1:26" x14ac:dyDescent="0.25">
      <c r="C11" s="1">
        <f>(C5-C7)/C5</f>
        <v>-3.2000000000000001E-2</v>
      </c>
      <c r="D11" s="1">
        <f t="shared" ref="D11:Z11" si="0">(D5-D7)/D5</f>
        <v>-3.2897701667417754E-2</v>
      </c>
      <c r="E11" s="1">
        <f t="shared" si="0"/>
        <v>-3.2217041119118273E-2</v>
      </c>
      <c r="F11" s="1">
        <f t="shared" si="0"/>
        <v>-3.2366725248974743E-2</v>
      </c>
      <c r="G11" s="1">
        <f t="shared" si="0"/>
        <v>-4.7200370198981954E-2</v>
      </c>
      <c r="H11" s="1">
        <f t="shared" si="0"/>
        <v>-4.828226555246054E-2</v>
      </c>
      <c r="I11" s="1">
        <f t="shared" si="0"/>
        <v>-5.0674105067410505E-2</v>
      </c>
      <c r="J11" s="1">
        <f t="shared" si="0"/>
        <v>-4.871636251159913E-2</v>
      </c>
      <c r="K11" s="1">
        <f t="shared" si="0"/>
        <v>-5.2900232018561484E-2</v>
      </c>
      <c r="L11" s="1">
        <f t="shared" si="0"/>
        <v>-5.2112676056338028E-2</v>
      </c>
      <c r="M11" s="1">
        <f t="shared" si="0"/>
        <v>-5.1194539249146756E-2</v>
      </c>
      <c r="N11" s="1">
        <f t="shared" si="0"/>
        <v>-5.2083333333333336E-2</v>
      </c>
      <c r="O11" s="1">
        <f t="shared" si="0"/>
        <v>-5.8881741712023754E-2</v>
      </c>
      <c r="P11" s="1">
        <f t="shared" si="0"/>
        <v>-5.9226627508565832E-2</v>
      </c>
      <c r="Q11" s="1">
        <f t="shared" si="0"/>
        <v>-5.6829511465603187E-2</v>
      </c>
      <c r="R11" s="1">
        <f t="shared" si="0"/>
        <v>-5.8319604612850198E-2</v>
      </c>
      <c r="S11" s="1">
        <f t="shared" si="0"/>
        <v>-5.3407934893184128E-2</v>
      </c>
      <c r="T11" s="1">
        <f t="shared" si="0"/>
        <v>-5.5368319691863267E-2</v>
      </c>
      <c r="U11" s="1">
        <f t="shared" si="0"/>
        <v>-5.5208833413346134E-2</v>
      </c>
      <c r="V11" s="1">
        <f t="shared" si="0"/>
        <v>-5.4684949396016903E-2</v>
      </c>
      <c r="W11" s="1">
        <f t="shared" si="0"/>
        <v>-6.1895551257253385E-2</v>
      </c>
      <c r="X11" s="1">
        <f t="shared" si="0"/>
        <v>-6.1637080867850101E-2</v>
      </c>
      <c r="Y11" s="1" t="e">
        <f t="shared" si="0"/>
        <v>#DIV/0!</v>
      </c>
      <c r="Z11" s="1">
        <f t="shared" si="0"/>
        <v>-6.1767578125E-2</v>
      </c>
    </row>
  </sheetData>
  <mergeCells count="6">
    <mergeCell ref="S1:V1"/>
    <mergeCell ref="W1:Z1"/>
    <mergeCell ref="C1:F1"/>
    <mergeCell ref="G1:J1"/>
    <mergeCell ref="K1:N1"/>
    <mergeCell ref="O1:R1"/>
  </mergeCells>
  <phoneticPr fontId="1" type="noConversion"/>
  <pageMargins left="0.7" right="0.7" top="0.75" bottom="0.75" header="0.3" footer="0.3"/>
  <pageSetup scale="5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Design</vt:lpstr>
      <vt:lpstr>Compression</vt:lpstr>
      <vt:lpstr>Specific Gravity</vt:lpstr>
      <vt:lpstr>Bulk Density</vt:lpstr>
      <vt:lpstr>Compacted Density MDD</vt:lpstr>
      <vt:lpstr>AIV</vt:lpstr>
      <vt:lpstr>ACV</vt:lpstr>
      <vt:lpstr>PSD</vt:lpstr>
      <vt:lpstr>Absorpsion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Zerwal_ASSOKA</dc:creator>
  <cp:lastModifiedBy>Dr Zerwal_ASSOKA</cp:lastModifiedBy>
  <cp:lastPrinted>2025-10-12T10:24:07Z</cp:lastPrinted>
  <dcterms:created xsi:type="dcterms:W3CDTF">2025-09-22T07:07:44Z</dcterms:created>
  <dcterms:modified xsi:type="dcterms:W3CDTF">2026-06-10T16:12:28Z</dcterms:modified>
</cp:coreProperties>
</file>